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ABC\Formatos\Sep25\Interfaz ABC\Final\"/>
    </mc:Choice>
  </mc:AlternateContent>
  <workbookProtection workbookAlgorithmName="SHA-512" workbookHashValue="mQH0/7AiLkc1ZC4XLm6Bht5CvX2NDkA//Eh9uG+TTiR3xc9kw62Uq+OJomcDhJYnnKHh0yyLiLRpfvq3NxBCcg==" workbookSaltValue="sSIszjQvtVTqlTSCAQtdFQ==" workbookSpinCount="100000" lockStructure="1"/>
  <bookViews>
    <workbookView xWindow="0" yWindow="0" windowWidth="20490" windowHeight="7050"/>
  </bookViews>
  <sheets>
    <sheet name="FormatoABC" sheetId="5" r:id="rId1"/>
    <sheet name="abc" sheetId="1" state="hidden" r:id="rId2"/>
    <sheet name="prgm" sheetId="2" state="hidden" r:id="rId3"/>
    <sheet name="imp" sheetId="9" state="hidden" r:id="rId4"/>
    <sheet name="sr" sheetId="11" state="hidden" r:id="rId5"/>
  </sheets>
  <definedNames>
    <definedName name="_Hlk156763334" localSheetId="1">abc!#REF!</definedName>
    <definedName name="_Hlk156763334" localSheetId="0">FormatoABC!#REF!</definedName>
    <definedName name="ExternalData_1" localSheetId="3">imp!#REF!</definedName>
    <definedName name="ExternalData_1" localSheetId="4">sr!#REF!</definedName>
    <definedName name="ExternalData_2" localSheetId="3">imp!#REF!</definedName>
    <definedName name="ExternalData_2" localSheetId="4">sr!#REF!</definedName>
    <definedName name="ExternalData_3" localSheetId="3">imp!#REF!</definedName>
    <definedName name="ExternalData_3" localSheetId="4">sr!#REF!</definedName>
    <definedName name="_xlnm.Print_Area" localSheetId="1">abc!$B$1:$D$53</definedName>
    <definedName name="_xlnm.Print_Area" localSheetId="0">FormatoABC!$B$3:$D$48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2" i="2" l="1"/>
  <c r="G22" i="2"/>
  <c r="J21" i="2"/>
  <c r="G21" i="2"/>
  <c r="J16" i="2"/>
  <c r="J15" i="2"/>
  <c r="G16" i="2"/>
  <c r="G15" i="2"/>
  <c r="H23" i="5" l="1"/>
  <c r="C128" i="2" l="1"/>
  <c r="B128" i="2" l="1"/>
  <c r="B43" i="2"/>
  <c r="D42" i="2" s="1"/>
  <c r="C94" i="2"/>
  <c r="C89" i="2"/>
  <c r="C88" i="2"/>
  <c r="C87" i="2"/>
  <c r="C68" i="2"/>
  <c r="C67" i="2"/>
  <c r="C66" i="2"/>
  <c r="C57" i="2"/>
  <c r="C56" i="2"/>
  <c r="C55" i="2"/>
  <c r="C54" i="2"/>
  <c r="C53" i="2"/>
  <c r="C44" i="2"/>
  <c r="C43" i="2"/>
  <c r="C42" i="2"/>
  <c r="C41" i="2"/>
  <c r="C40" i="2"/>
  <c r="B34" i="2"/>
  <c r="B33" i="2"/>
  <c r="B29" i="2"/>
  <c r="B28" i="2"/>
  <c r="B26" i="2"/>
  <c r="A19" i="11" l="1"/>
  <c r="H9" i="5" l="1"/>
  <c r="B112" i="2" l="1"/>
  <c r="C65" i="2" l="1"/>
  <c r="E76" i="2" s="1"/>
  <c r="C52" i="2"/>
  <c r="E63" i="2" s="1"/>
  <c r="C39" i="2"/>
  <c r="C81" i="2"/>
  <c r="E50" i="2" l="1"/>
  <c r="E49" i="2"/>
  <c r="E48" i="2"/>
  <c r="E47" i="2"/>
  <c r="E70" i="2"/>
  <c r="E69" i="2"/>
  <c r="E68" i="2"/>
  <c r="E58" i="2"/>
  <c r="E59" i="2"/>
  <c r="E57" i="2"/>
  <c r="H4" i="5"/>
  <c r="G11" i="2" l="1"/>
  <c r="H42" i="5"/>
  <c r="J14" i="2"/>
  <c r="J20" i="2" l="1"/>
  <c r="J19" i="2"/>
  <c r="J18" i="2"/>
  <c r="J17" i="2"/>
  <c r="G20" i="2"/>
  <c r="G19" i="2"/>
  <c r="G18" i="2"/>
  <c r="G17" i="2"/>
  <c r="G14" i="2"/>
  <c r="B5" i="2" l="1"/>
  <c r="H39" i="5" l="1"/>
  <c r="H38" i="5"/>
  <c r="H37" i="5"/>
  <c r="H31" i="5"/>
  <c r="H28" i="5"/>
  <c r="H27" i="5"/>
  <c r="H26" i="5"/>
  <c r="H25" i="5"/>
  <c r="H24" i="5"/>
  <c r="H19" i="5"/>
  <c r="H18" i="5"/>
  <c r="H14" i="5"/>
  <c r="H13" i="5"/>
  <c r="H8" i="5"/>
  <c r="K19" i="2" l="1"/>
  <c r="L19" i="2" s="1"/>
  <c r="K18" i="2"/>
  <c r="L18" i="2" s="1"/>
  <c r="C7" i="1" l="1"/>
  <c r="B27" i="2" l="1"/>
  <c r="C8" i="1" s="1"/>
  <c r="H19" i="2" l="1"/>
  <c r="I19" i="2" s="1"/>
  <c r="H18" i="2"/>
  <c r="I18" i="2" s="1"/>
  <c r="H30" i="5" l="1"/>
  <c r="H29" i="5" l="1"/>
  <c r="K22" i="2" l="1"/>
  <c r="H22" i="2"/>
  <c r="K17" i="2"/>
  <c r="L17" i="2" s="1"/>
  <c r="K20" i="2"/>
  <c r="L20" i="2" s="1"/>
  <c r="H20" i="2"/>
  <c r="I20" i="2" s="1"/>
  <c r="H17" i="2"/>
  <c r="I17" i="2" s="1"/>
  <c r="C46" i="2"/>
  <c r="E45" i="2" s="1"/>
  <c r="C45" i="2"/>
  <c r="E44" i="2" s="1"/>
  <c r="E56" i="2" l="1"/>
  <c r="E55" i="2"/>
  <c r="E54" i="2"/>
  <c r="E53" i="2"/>
  <c r="E42" i="2" l="1"/>
  <c r="E43" i="2"/>
  <c r="B114" i="2" l="1"/>
  <c r="B111" i="2"/>
  <c r="E41" i="2"/>
  <c r="C86" i="2" l="1"/>
  <c r="D86" i="2" s="1"/>
  <c r="B123" i="2" s="1"/>
  <c r="C92" i="2"/>
  <c r="C85" i="2"/>
  <c r="E67" i="2"/>
  <c r="E66" i="2"/>
  <c r="E65" i="2"/>
  <c r="E52" i="2"/>
  <c r="E40" i="2" l="1"/>
  <c r="E39" i="2"/>
  <c r="B25" i="2" l="1"/>
  <c r="C6" i="1" l="1"/>
  <c r="C47" i="2"/>
  <c r="E46" i="2" s="1"/>
  <c r="B35" i="1" l="1"/>
  <c r="B19" i="11" s="1"/>
  <c r="C19" i="11" s="1"/>
  <c r="A100" i="2" l="1"/>
  <c r="B40" i="1" s="1"/>
  <c r="B100" i="2" l="1"/>
  <c r="C40" i="1" s="1"/>
  <c r="C99" i="2"/>
  <c r="D39" i="1" s="1"/>
  <c r="C100" i="2"/>
  <c r="D40" i="1" s="1"/>
  <c r="B99" i="2"/>
  <c r="C39" i="1" s="1"/>
  <c r="B3" i="2"/>
  <c r="A107" i="2" l="1"/>
  <c r="B53" i="1" s="1"/>
  <c r="B7" i="2"/>
  <c r="C8" i="2" s="1"/>
  <c r="C107" i="2"/>
  <c r="D53" i="1" s="1"/>
  <c r="C106" i="2"/>
  <c r="D52" i="1" s="1"/>
  <c r="B81" i="2"/>
  <c r="B85" i="2"/>
  <c r="B92" i="2"/>
  <c r="D11" i="2"/>
  <c r="J11" i="2"/>
  <c r="A29" i="1"/>
  <c r="C29" i="1" s="1"/>
  <c r="B14" i="11" s="1"/>
  <c r="C5" i="1"/>
  <c r="B1" i="11" s="1"/>
  <c r="C1" i="11" s="1"/>
  <c r="C4" i="1"/>
  <c r="B107" i="2"/>
  <c r="C53" i="1" s="1"/>
  <c r="B105" i="2"/>
  <c r="C50" i="1" s="1"/>
  <c r="B104" i="2"/>
  <c r="C49" i="1" s="1"/>
  <c r="C104" i="2"/>
  <c r="D49" i="1" s="1"/>
  <c r="D22" i="5"/>
  <c r="A23" i="5"/>
  <c r="B23" i="5" s="1"/>
  <c r="A35" i="5"/>
  <c r="A16" i="1"/>
  <c r="B78" i="2"/>
  <c r="D34" i="5" s="1"/>
  <c r="B36" i="2"/>
  <c r="B22" i="5" s="1"/>
  <c r="A104" i="2"/>
  <c r="A105" i="2"/>
  <c r="C13" i="1"/>
  <c r="C14" i="1"/>
  <c r="C10" i="1"/>
  <c r="C11" i="1"/>
  <c r="A106" i="2" l="1"/>
  <c r="B52" i="1" s="1"/>
  <c r="B35" i="5"/>
  <c r="H35" i="5" s="1"/>
  <c r="B16" i="1"/>
  <c r="A2" i="11" s="1"/>
  <c r="C16" i="1"/>
  <c r="B2" i="11" s="1"/>
  <c r="B8" i="2"/>
  <c r="B29" i="1"/>
  <c r="A14" i="11" s="1"/>
  <c r="C14" i="11" s="1"/>
  <c r="B106" i="2"/>
  <c r="C52" i="1" s="1"/>
  <c r="A99" i="2"/>
  <c r="B39" i="1" s="1"/>
  <c r="B15" i="1"/>
  <c r="A17" i="1"/>
  <c r="A36" i="5"/>
  <c r="A37" i="5" s="1"/>
  <c r="A38" i="5" s="1"/>
  <c r="A39" i="5" s="1"/>
  <c r="A24" i="5"/>
  <c r="B24" i="5" s="1"/>
  <c r="A30" i="1"/>
  <c r="C30" i="1" s="1"/>
  <c r="B15" i="11" s="1"/>
  <c r="B49" i="1"/>
  <c r="B50" i="1"/>
  <c r="I22" i="2" l="1"/>
  <c r="K16" i="2"/>
  <c r="L16" i="2" s="1"/>
  <c r="L22" i="2"/>
  <c r="H16" i="2"/>
  <c r="C2" i="11"/>
  <c r="C17" i="1"/>
  <c r="B3" i="11" s="1"/>
  <c r="B17" i="1"/>
  <c r="A3" i="11" s="1"/>
  <c r="K14" i="2"/>
  <c r="L14" i="2" s="1"/>
  <c r="H14" i="2"/>
  <c r="I14" i="2" s="1"/>
  <c r="A25" i="5"/>
  <c r="B25" i="5" s="1"/>
  <c r="B39" i="5"/>
  <c r="B30" i="1"/>
  <c r="A15" i="11" s="1"/>
  <c r="C15" i="11" s="1"/>
  <c r="A31" i="1"/>
  <c r="C31" i="1" s="1"/>
  <c r="B16" i="11" s="1"/>
  <c r="B36" i="5"/>
  <c r="A18" i="1"/>
  <c r="C3" i="11" l="1"/>
  <c r="B18" i="1"/>
  <c r="A4" i="11" s="1"/>
  <c r="C18" i="1"/>
  <c r="B4" i="11" s="1"/>
  <c r="H36" i="5"/>
  <c r="I16" i="2"/>
  <c r="A26" i="5"/>
  <c r="B26" i="5" s="1"/>
  <c r="B31" i="1"/>
  <c r="A16" i="11" s="1"/>
  <c r="C16" i="11" s="1"/>
  <c r="A32" i="1"/>
  <c r="C32" i="1" s="1"/>
  <c r="B17" i="11" s="1"/>
  <c r="B37" i="5"/>
  <c r="A19" i="1"/>
  <c r="H21" i="2" l="1"/>
  <c r="I21" i="2" s="1"/>
  <c r="K21" i="2"/>
  <c r="L21" i="2" s="1"/>
  <c r="K15" i="2"/>
  <c r="L15" i="2" s="1"/>
  <c r="H15" i="2"/>
  <c r="C4" i="11"/>
  <c r="C19" i="1"/>
  <c r="B5" i="11" s="1"/>
  <c r="B19" i="1"/>
  <c r="A5" i="11" s="1"/>
  <c r="A27" i="5"/>
  <c r="B27" i="5" s="1"/>
  <c r="B32" i="1"/>
  <c r="A17" i="11" s="1"/>
  <c r="C17" i="11" s="1"/>
  <c r="A33" i="1"/>
  <c r="C33" i="1" s="1"/>
  <c r="B18" i="11" s="1"/>
  <c r="B38" i="5"/>
  <c r="A20" i="1"/>
  <c r="E11" i="2" l="1"/>
  <c r="F11" i="2" s="1"/>
  <c r="K11" i="2"/>
  <c r="L11" i="2" s="1"/>
  <c r="H11" i="2"/>
  <c r="I11" i="2" s="1"/>
  <c r="C5" i="11"/>
  <c r="B20" i="1"/>
  <c r="A6" i="11" s="1"/>
  <c r="C20" i="1"/>
  <c r="B6" i="11" s="1"/>
  <c r="I15" i="2"/>
  <c r="C11" i="2" s="1"/>
  <c r="B11" i="2" s="1"/>
  <c r="A28" i="5"/>
  <c r="B28" i="5" s="1"/>
  <c r="B33" i="1"/>
  <c r="A18" i="11" s="1"/>
  <c r="C18" i="11" s="1"/>
  <c r="A21" i="1"/>
  <c r="C6" i="11" l="1"/>
  <c r="B21" i="1"/>
  <c r="A7" i="11" s="1"/>
  <c r="C21" i="1"/>
  <c r="B7" i="11" s="1"/>
  <c r="A29" i="5"/>
  <c r="B29" i="5" s="1"/>
  <c r="A22" i="1"/>
  <c r="C7" i="11" l="1"/>
  <c r="B22" i="1"/>
  <c r="A8" i="11" s="1"/>
  <c r="C22" i="1"/>
  <c r="B8" i="11" s="1"/>
  <c r="A30" i="5"/>
  <c r="B30" i="5" s="1"/>
  <c r="A23" i="1"/>
  <c r="C8" i="11" l="1"/>
  <c r="B23" i="1"/>
  <c r="A9" i="11" s="1"/>
  <c r="C23" i="1"/>
  <c r="B9" i="11" s="1"/>
  <c r="A31" i="5"/>
  <c r="B31" i="5" s="1"/>
  <c r="A24" i="1"/>
  <c r="C9" i="11" l="1"/>
  <c r="B24" i="1"/>
  <c r="A10" i="11" s="1"/>
  <c r="C24" i="1"/>
  <c r="B10" i="11" s="1"/>
  <c r="A25" i="1"/>
  <c r="C25" i="1" l="1"/>
  <c r="B11" i="11" s="1"/>
  <c r="B25" i="1"/>
  <c r="A11" i="11" s="1"/>
  <c r="C10" i="11"/>
  <c r="A26" i="1"/>
  <c r="C11" i="11" l="1"/>
  <c r="C26" i="1"/>
  <c r="B12" i="11" s="1"/>
  <c r="B26" i="1"/>
  <c r="A12" i="11" s="1"/>
  <c r="A27" i="1"/>
  <c r="C12" i="11" l="1"/>
  <c r="B27" i="1"/>
  <c r="A13" i="11" s="1"/>
  <c r="C27" i="1"/>
  <c r="B13" i="11" s="1"/>
  <c r="C13" i="11" l="1"/>
</calcChain>
</file>

<file path=xl/sharedStrings.xml><?xml version="1.0" encoding="utf-8"?>
<sst xmlns="http://schemas.openxmlformats.org/spreadsheetml/2006/main" count="1824" uniqueCount="1284">
  <si>
    <t>Fecha de la solicitud:</t>
  </si>
  <si>
    <t>Lista de servicios</t>
  </si>
  <si>
    <t>CURP:</t>
  </si>
  <si>
    <t>RFC:</t>
  </si>
  <si>
    <t>Puesto:</t>
  </si>
  <si>
    <t>Dirección:</t>
  </si>
  <si>
    <t>Solicitante</t>
  </si>
  <si>
    <t>Justificación</t>
  </si>
  <si>
    <t>Usuario del servicio</t>
  </si>
  <si>
    <t>Autorizó</t>
  </si>
  <si>
    <t>Puesto del solicitante:</t>
  </si>
  <si>
    <t>Datos del solicitante</t>
  </si>
  <si>
    <t>Datos del usuario</t>
  </si>
  <si>
    <t>Área:</t>
  </si>
  <si>
    <t>Nombre(s):</t>
  </si>
  <si>
    <t>Nombre del solicitante:</t>
  </si>
  <si>
    <t>Nombre del usuario que autoriza:</t>
  </si>
  <si>
    <t>Puesto del usuario que autoriza:</t>
  </si>
  <si>
    <t>Extensión:</t>
  </si>
  <si>
    <t>Instrucciones datos usuario</t>
  </si>
  <si>
    <t>Apellidos:</t>
  </si>
  <si>
    <t>Datos de autorización</t>
  </si>
  <si>
    <t>Nombre de la cuenta de servicio:</t>
  </si>
  <si>
    <t>Datos adicionales</t>
  </si>
  <si>
    <t>Control de datos adicionales</t>
  </si>
  <si>
    <t>Instrucciones datos adicionales</t>
  </si>
  <si>
    <t>No se requieren datos adicionales.</t>
  </si>
  <si>
    <t>Nombre del archivo</t>
  </si>
  <si>
    <t>Fecha de la solicitud</t>
  </si>
  <si>
    <t>Datos de la solicitud</t>
  </si>
  <si>
    <t>Tipo de solicitud:</t>
  </si>
  <si>
    <t>Nombre</t>
  </si>
  <si>
    <t>Alta de cuenta de usuario interno</t>
  </si>
  <si>
    <t>Alta de cuenta de usuario externo</t>
  </si>
  <si>
    <t>Alta de cuenta de servicio</t>
  </si>
  <si>
    <t>Ingresar los datos adicionales que se solicitan.</t>
  </si>
  <si>
    <t>Fin del bloque de firmas</t>
  </si>
  <si>
    <t>Selección</t>
  </si>
  <si>
    <t>Firmas hoja 1</t>
  </si>
  <si>
    <t>Baja de la cuenta por renuncia.</t>
  </si>
  <si>
    <t>Estado:</t>
  </si>
  <si>
    <t>Ciudad:</t>
  </si>
  <si>
    <t>Cambio de la fecha de expiración de la cuenta.</t>
  </si>
  <si>
    <t>Código Postal:</t>
  </si>
  <si>
    <t>Firmas hoja 2</t>
  </si>
  <si>
    <t>Nombre de la cuenta genérica:</t>
  </si>
  <si>
    <t>Se requiere la baja de la cuenta en Directorio Activo y Exchange, por renuncia del usuario.</t>
  </si>
  <si>
    <t>Baja de cuenta de usuario interno</t>
  </si>
  <si>
    <t>Baja de cuenta de usuario externo</t>
  </si>
  <si>
    <t>Cambio en cuenta de usuario interno</t>
  </si>
  <si>
    <t>Ingresar los datos sin abreviaturas, del usuario interno que será dado de baja.</t>
  </si>
  <si>
    <t>Cambio en cuenta de usuario externo</t>
  </si>
  <si>
    <t>Alta de la cuenta externa para realizar servicio social.</t>
  </si>
  <si>
    <t>Baja de cuenta de servicio</t>
  </si>
  <si>
    <t>Cambio en cuenta de servicio</t>
  </si>
  <si>
    <t>Datos del usuario interno</t>
  </si>
  <si>
    <t>Datos del usuario externo</t>
  </si>
  <si>
    <t>Nombre del responsable de la CONAGUA:</t>
  </si>
  <si>
    <t>Puesto del responsable de la CONAGUA:</t>
  </si>
  <si>
    <t>Fin de actividades (DD/MM/AAAA):</t>
  </si>
  <si>
    <t>Nombre del usuario externo:</t>
  </si>
  <si>
    <t>Control de datos del usuario</t>
  </si>
  <si>
    <t>Datos de la cuenta de servicio</t>
  </si>
  <si>
    <t>Datos de la cuenta genérica</t>
  </si>
  <si>
    <t>Nombre:</t>
  </si>
  <si>
    <t>Puesto del usuario externo:</t>
  </si>
  <si>
    <t>Ingresar los datos sin abreviaturas, de la cuenta de servicio que será dada de baja y del responsable de CONAGUA que la tiene asignada.</t>
  </si>
  <si>
    <t>Ingresar los datos sin abreviaturas, de la cuenta genérica que será dada de baja, del usuario externo que la tiene asignada y del responsable de CONAGUA.</t>
  </si>
  <si>
    <t>Validacion celdas vacias</t>
  </si>
  <si>
    <t>Validacion de errores</t>
  </si>
  <si>
    <t>Nombres, Cargos y Firmas</t>
  </si>
  <si>
    <t>Programacion</t>
  </si>
  <si>
    <t>Validación</t>
  </si>
  <si>
    <t>Número de reporte de mesa de servicio:</t>
  </si>
  <si>
    <t>Tipo se servicio</t>
  </si>
  <si>
    <t>Importar</t>
  </si>
  <si>
    <t>Ubicación</t>
  </si>
  <si>
    <t>CDMX</t>
  </si>
  <si>
    <t>Dirección</t>
  </si>
  <si>
    <t>Estado</t>
  </si>
  <si>
    <t>Ciudad</t>
  </si>
  <si>
    <t>C.P</t>
  </si>
  <si>
    <t>ID</t>
  </si>
  <si>
    <t>Aguascalientes</t>
  </si>
  <si>
    <t>Ubicación:</t>
  </si>
  <si>
    <t>Template</t>
  </si>
  <si>
    <t>abc</t>
  </si>
  <si>
    <t>Datos</t>
  </si>
  <si>
    <t>Copiar</t>
  </si>
  <si>
    <t>Campo
Vacío</t>
  </si>
  <si>
    <t>Dato
inválido</t>
  </si>
  <si>
    <t>Borrar
Todo</t>
  </si>
  <si>
    <t>Extensión del requisitante:</t>
  </si>
  <si>
    <t>Nombre del requisitante:</t>
  </si>
  <si>
    <t>Borrar</t>
  </si>
  <si>
    <t>La Paz</t>
  </si>
  <si>
    <t>Baja California Sur</t>
  </si>
  <si>
    <t>Datos de quien elabora la solicitud</t>
  </si>
  <si>
    <t>Campeche</t>
  </si>
  <si>
    <t>Chihuahua</t>
  </si>
  <si>
    <t>Coahuila</t>
  </si>
  <si>
    <t>Colima</t>
  </si>
  <si>
    <t>Durango</t>
  </si>
  <si>
    <t>Guanajuato</t>
  </si>
  <si>
    <t>Guerrero</t>
  </si>
  <si>
    <t>Hidalgo</t>
  </si>
  <si>
    <t>Michoacán</t>
  </si>
  <si>
    <t>Nayarit</t>
  </si>
  <si>
    <t>Puebla</t>
  </si>
  <si>
    <t>Querétaro</t>
  </si>
  <si>
    <t>Metepec</t>
  </si>
  <si>
    <t>Estado de México</t>
  </si>
  <si>
    <t>Quintana Roo</t>
  </si>
  <si>
    <t>Celaya</t>
  </si>
  <si>
    <t>Chilpancingo</t>
  </si>
  <si>
    <t>Morelia</t>
  </si>
  <si>
    <t>Tepic</t>
  </si>
  <si>
    <t>San Luis Potosí</t>
  </si>
  <si>
    <t>Chetumal</t>
  </si>
  <si>
    <t>Tlaxcala</t>
  </si>
  <si>
    <t>Zacatecas</t>
  </si>
  <si>
    <t>Guadalupe</t>
  </si>
  <si>
    <t>Morelos</t>
  </si>
  <si>
    <t>Torreón</t>
  </si>
  <si>
    <t>Tuxtla Gutiérrez</t>
  </si>
  <si>
    <t>Chiapas</t>
  </si>
  <si>
    <t>Veracruz</t>
  </si>
  <si>
    <t>Ciudad Victoria</t>
  </si>
  <si>
    <t>Tamaulipas</t>
  </si>
  <si>
    <t>Guadalajara</t>
  </si>
  <si>
    <t>Jalisco</t>
  </si>
  <si>
    <t>Hermosillo</t>
  </si>
  <si>
    <t>Sonora</t>
  </si>
  <si>
    <t>Culiacán</t>
  </si>
  <si>
    <t>Sinaloa</t>
  </si>
  <si>
    <t>Oaxaca</t>
  </si>
  <si>
    <t>Mexicali</t>
  </si>
  <si>
    <t>Baja California</t>
  </si>
  <si>
    <t>Mérida</t>
  </si>
  <si>
    <t>Yucatán</t>
  </si>
  <si>
    <t>Monterrey</t>
  </si>
  <si>
    <t>Nuevo León</t>
  </si>
  <si>
    <t>Número de reporte:</t>
  </si>
  <si>
    <t>Xalapa</t>
  </si>
  <si>
    <t>Ingresar los datos, sin abreviaturas, de la persona que esta elaborando la solicitud.</t>
  </si>
  <si>
    <t>Validación vacio y errores</t>
  </si>
  <si>
    <t>Datos del Sistema de la Mesa de Servicios de TI.</t>
  </si>
  <si>
    <t>Ingresar el número de reporte del Sistema de la Mesa de Servicios de TI.</t>
  </si>
  <si>
    <t>Reporte de la Mesa de Servicios de TI:</t>
  </si>
  <si>
    <t>.</t>
  </si>
  <si>
    <t>Validacion Vacio y Errores</t>
  </si>
  <si>
    <t>Validacion Generacion de Formato</t>
  </si>
  <si>
    <t>Validacion VESR</t>
  </si>
  <si>
    <t>Validacion VEGF</t>
  </si>
  <si>
    <t>Validacion Solicitud de Reporte</t>
  </si>
  <si>
    <t>Alta de la cuenta para realizar funciones relacionadas con el puesto y el área.</t>
  </si>
  <si>
    <t>Justificación breve.
Máximo 500 caracteres y 5 líneas.</t>
  </si>
  <si>
    <t>Ingresar los datos sin abreviaturas, del usuario interno que utilizará la cuenta. Para alta de cuenta de usuario interno, se asignará un usuario y correo institucional.</t>
  </si>
  <si>
    <t>Ingresar los datos sin abreviaturas, del usuario interno responsable que utilizará la cuenta de servicio. Para alta de cuenta de servicio, se asignará un usuario genérico y correo institucional.</t>
  </si>
  <si>
    <t>En Oficinas Centrales, la persona que va a autorizar, debe tener un puesto de Gerente como mínimo, para Direcciones Locales debe ser el Director Local y en Organismos de Cuenca el Director del Organismo. La persona que va a autorizar, deberá firmar el formato ABC. Ingresar los datos sin abreviaturas.</t>
  </si>
  <si>
    <t>En Oficinas Centrales, el solicitante debe ser un Enlace Administrativo, para Direcciones Locales y Organismos de Cuenca debe ser un Enlace Informático. El solicitante deberá firmar el formato ABC. Ingresar los datos, sin abreviaturas.</t>
  </si>
  <si>
    <t>Pachuca de Soto</t>
  </si>
  <si>
    <t>04340,</t>
  </si>
  <si>
    <t>08040,</t>
  </si>
  <si>
    <t>Se requiere el alta de la cuenta en Directorio Activo y Exchange, para que el usuario externo realice funciones de servicio social.  Se solicita usuario genérico y correo institucional.</t>
  </si>
  <si>
    <t>COMISIÓN NACIONAL DEL AGUA
SUBDIRECCIÓN GENERAL DE ADMINISTRACIÓN
GERENCIA DE TECNOLOGÍA DE LA INFORMACIÓN Y COMUNICACIONES
SUBGERENCIA DE INTERNET E INTRANET</t>
  </si>
  <si>
    <t>FORMATO DE “SOLICITUD DE MOVIMIENTOS DE LA PERSONA USUARIA DE LA RED (ALTAS, BAJAS Y CAMBIOS)".</t>
  </si>
  <si>
    <t>Formato ABC (VERSIÓN 1.0, OCTUBRE 2025)</t>
  </si>
  <si>
    <t>Tlalnepantla de Baz</t>
  </si>
  <si>
    <t>Texcoco</t>
  </si>
  <si>
    <t>01020,</t>
  </si>
  <si>
    <t>20263</t>
  </si>
  <si>
    <t>20289</t>
  </si>
  <si>
    <t>20674</t>
  </si>
  <si>
    <t>Pabellón de Arteaga</t>
  </si>
  <si>
    <t>20500</t>
  </si>
  <si>
    <t>San José de Gracia</t>
  </si>
  <si>
    <t>23472</t>
  </si>
  <si>
    <t>Cabo San Lucas</t>
  </si>
  <si>
    <t>Altos de Cerro Prieto S/No., Colonia 4 de Marzo, C.P. 23472, Cabo San Lucas, Baja California Sur.</t>
  </si>
  <si>
    <t>23739</t>
  </si>
  <si>
    <t>23880</t>
  </si>
  <si>
    <t>23920</t>
  </si>
  <si>
    <t>23040</t>
  </si>
  <si>
    <t>23070</t>
  </si>
  <si>
    <t>23935</t>
  </si>
  <si>
    <t>23600</t>
  </si>
  <si>
    <t>24014</t>
  </si>
  <si>
    <t>San Francisco de Campeche</t>
  </si>
  <si>
    <t>24300</t>
  </si>
  <si>
    <t>Sabancuy Ciudad del Carmen</t>
  </si>
  <si>
    <t>24075</t>
  </si>
  <si>
    <t>24095</t>
  </si>
  <si>
    <t>31890</t>
  </si>
  <si>
    <t>Buenaventura</t>
  </si>
  <si>
    <t>33601</t>
  </si>
  <si>
    <t>33000</t>
  </si>
  <si>
    <t>32880</t>
  </si>
  <si>
    <t>32451</t>
  </si>
  <si>
    <t>31680</t>
  </si>
  <si>
    <t>31310</t>
  </si>
  <si>
    <t>31610</t>
  </si>
  <si>
    <t>Ciudad Guerrero</t>
  </si>
  <si>
    <t>31790</t>
  </si>
  <si>
    <t>Flores Magón</t>
  </si>
  <si>
    <t>33800</t>
  </si>
  <si>
    <t>Hidalgo del Parral</t>
  </si>
  <si>
    <t>31720</t>
  </si>
  <si>
    <t>Nuevo Casas Grandes</t>
  </si>
  <si>
    <t>31980</t>
  </si>
  <si>
    <t>Temósachi</t>
  </si>
  <si>
    <t>26215</t>
  </si>
  <si>
    <t>Capitán Leal No. 510, Col. Benito Juárez, C.P. 26215, Acuña, Coahuila.</t>
  </si>
  <si>
    <t>25294</t>
  </si>
  <si>
    <t>25750</t>
  </si>
  <si>
    <t>Monclova</t>
  </si>
  <si>
    <t>26070</t>
  </si>
  <si>
    <t>Piedras Negras</t>
  </si>
  <si>
    <t>Av. Insurgentes No. 407, Col. El Mirador C.P. 26070, Piedras Negras, Coahuila.</t>
  </si>
  <si>
    <t>Pablo Valdez Hernández No. 208, Col. Compositores Mexicanos, C.P. 26070, Piedras Negras, Coahuila.</t>
  </si>
  <si>
    <t>25315</t>
  </si>
  <si>
    <t>Saltillo Buena Vista</t>
  </si>
  <si>
    <t>Carretera Zacatecas Km. 7.5, C.P. 25315, Saltillo Buena Vista, Coahuila.</t>
  </si>
  <si>
    <t>49870</t>
  </si>
  <si>
    <t>Coalcamán</t>
  </si>
  <si>
    <t>48680</t>
  </si>
  <si>
    <t>Ejutla</t>
  </si>
  <si>
    <t>28350</t>
  </si>
  <si>
    <t>Tecomán</t>
  </si>
  <si>
    <t>28270</t>
  </si>
  <si>
    <t>Manzanillo</t>
  </si>
  <si>
    <t>Fco. I. Madero S/N Esq. Calle 9, Unidad Habitacional Padre Hidalgo, C.P. 28270, Manzanillo, Colima (19°02' 40.05” N, 104°19' 07.12” O).</t>
  </si>
  <si>
    <t>28000</t>
  </si>
  <si>
    <t>34208</t>
  </si>
  <si>
    <t>34210</t>
  </si>
  <si>
    <t>35600</t>
  </si>
  <si>
    <t>Tepehuanes</t>
  </si>
  <si>
    <t>50450</t>
  </si>
  <si>
    <t>Atlacomulco</t>
  </si>
  <si>
    <t>Tequixquiac</t>
  </si>
  <si>
    <t>Km. 22.77 Carretera Reyes Apaxco, Barrio de San Miguel, Tequixquiac, Estado de México.</t>
  </si>
  <si>
    <t>54240</t>
  </si>
  <si>
    <t>Jilotepec</t>
  </si>
  <si>
    <t>52148</t>
  </si>
  <si>
    <t>51356</t>
  </si>
  <si>
    <t>San Miguel Zinacantepec</t>
  </si>
  <si>
    <t>55000</t>
  </si>
  <si>
    <t>Tecámac</t>
  </si>
  <si>
    <t>36970</t>
  </si>
  <si>
    <t>Abasolo</t>
  </si>
  <si>
    <t>Calle Mina Norte Núm. 308, C.P. 36970, Abasolo, Guanajuato.</t>
  </si>
  <si>
    <t>38750</t>
  </si>
  <si>
    <t>Acámbaro</t>
  </si>
  <si>
    <t>38110</t>
  </si>
  <si>
    <t>SCP</t>
  </si>
  <si>
    <t>36000</t>
  </si>
  <si>
    <t>Plaza Hidalgo No. 1-A, Edif. Copieg, Col. Centro, C.P. 36000 Guanajuato, Guanajuato.</t>
  </si>
  <si>
    <t>Salamanca</t>
  </si>
  <si>
    <t>Carretera Federal Libre Celaya-Salamanca Km 86+250, Salamanca, Guanajuato.</t>
  </si>
  <si>
    <t>36542</t>
  </si>
  <si>
    <t>Irapuato</t>
  </si>
  <si>
    <t>37898</t>
  </si>
  <si>
    <t>39016</t>
  </si>
  <si>
    <t>39931</t>
  </si>
  <si>
    <t>Acapulco</t>
  </si>
  <si>
    <t>Aeropuerto Internacional de Acapulco, Juan N. Álvarez, C.P. 39931, Acapulco, Guerrero (16°54'24.60” N, 99°59’05.90” O).</t>
  </si>
  <si>
    <t>40662</t>
  </si>
  <si>
    <t>Altamirano</t>
  </si>
  <si>
    <t>Av. Rey Irepán No. 11001, Oriente, Col. Vicente Guerrero, C.P. 40662, Altamirano, Guerrero. (18°21'28.76 N, 100°39’58.67” O).</t>
  </si>
  <si>
    <t>40930</t>
  </si>
  <si>
    <t>Atoyac de Álvarez</t>
  </si>
  <si>
    <t>Prolongación Insurgentes S/N, Col. Silvestre G. Mariscal, C.P. 40930, Atoyac de Álvarez, Guerrero. (17°12’28.62” N, 100°25'58.25” O).</t>
  </si>
  <si>
    <t>39300</t>
  </si>
  <si>
    <t>Palacio Federal Av. Costera Miguel Alemán 315, Centro, 39300 Acapulco de Juárez, Gro (16.849341100287862, -99.90608151193207).</t>
  </si>
  <si>
    <t>41940</t>
  </si>
  <si>
    <t>Cuajinicuilapa</t>
  </si>
  <si>
    <t>Carretera Acapulco-Pinotepa Nacional Km. 202, Col. Centro, C.P. 41940, Cuajinicuilapa, Guerrero. (16°30’50” N, 98°31'50'' O).</t>
  </si>
  <si>
    <t>39990</t>
  </si>
  <si>
    <t>Municipio de San Marcos</t>
  </si>
  <si>
    <t>39080</t>
  </si>
  <si>
    <t>Boulevard Vicente Guerrero Km. 270.5 (Autopista México-Acapulco) Col. Universal C.P. 39080 Chilpancingo, Guerrero. (17°30'54.61” N, 99°28’53.66” O).</t>
  </si>
  <si>
    <t>39090</t>
  </si>
  <si>
    <t>Av. Ruffo Figueroa No. 2, Col Burócratas. C.P. 39090. Chilpancingo, Guerrero. (17°31'37.93” N, 99°29'08.31” O).</t>
  </si>
  <si>
    <t>40030</t>
  </si>
  <si>
    <t>Iguala de la Independencia</t>
  </si>
  <si>
    <t>Av. Sur No.1 Col. Insurgentes, C.P. 40030, Iguala de la Independencia, Guerrero. (18°21'21.02” N, 99°32’13.98'' O).</t>
  </si>
  <si>
    <t>43740</t>
  </si>
  <si>
    <t>Cuautepec</t>
  </si>
  <si>
    <t>43000</t>
  </si>
  <si>
    <t>Huejutla</t>
  </si>
  <si>
    <t>42300</t>
  </si>
  <si>
    <t>Ixmiquilpan</t>
  </si>
  <si>
    <t>43350</t>
  </si>
  <si>
    <t>Metztitlán</t>
  </si>
  <si>
    <t>42700</t>
  </si>
  <si>
    <t>Mixquiahuala</t>
  </si>
  <si>
    <t>42092</t>
  </si>
  <si>
    <t>42084</t>
  </si>
  <si>
    <t>42086</t>
  </si>
  <si>
    <t>43650</t>
  </si>
  <si>
    <t>Tulancingo de Bravo</t>
  </si>
  <si>
    <t>61160</t>
  </si>
  <si>
    <t>Ciudad Hidalgo</t>
  </si>
  <si>
    <t>60990</t>
  </si>
  <si>
    <t>61250</t>
  </si>
  <si>
    <t>Maravatío</t>
  </si>
  <si>
    <t>58120</t>
  </si>
  <si>
    <t>59254</t>
  </si>
  <si>
    <t>60640</t>
  </si>
  <si>
    <t>59000</t>
  </si>
  <si>
    <t>Carretera Sahuayo Venustiano Carranza No. 1400 Col. Paso de las Águilas C.P. 59000 Sahuayo, Michoacán.</t>
  </si>
  <si>
    <t>58148</t>
  </si>
  <si>
    <t>58279</t>
  </si>
  <si>
    <t>Km. 7 Carretera Antigua a Pátzcuaro, S/N, Presa Cointzio, Morelia, Michoacán.</t>
  </si>
  <si>
    <t>60540</t>
  </si>
  <si>
    <t>Tepalcatepec</t>
  </si>
  <si>
    <t>59690</t>
  </si>
  <si>
    <t>Zamora</t>
  </si>
  <si>
    <t>63150</t>
  </si>
  <si>
    <t>63040</t>
  </si>
  <si>
    <t>63185</t>
  </si>
  <si>
    <t>63730</t>
  </si>
  <si>
    <t>San Juan de Abajo</t>
  </si>
  <si>
    <t>72300</t>
  </si>
  <si>
    <t>Boulevard México 68, No. 5020, Col. México 68, C.P. 72300, Puebla, Puebla. (19°03'17.91" N, 98°09'46.81" O).</t>
  </si>
  <si>
    <t>72440</t>
  </si>
  <si>
    <t>75480</t>
  </si>
  <si>
    <t>Tecamachalco</t>
  </si>
  <si>
    <t>Calle 9 Poniente S/N, Col. Barrio de San Sebastián, C.P. 75480, Tecamachalco, Puebla. (18°52'58.95'' N, 97°44'02.16'' O) Planta Baja.</t>
  </si>
  <si>
    <t>75700</t>
  </si>
  <si>
    <t>Tehuacán</t>
  </si>
  <si>
    <t>76060</t>
  </si>
  <si>
    <t>Colinas del Cimatario</t>
  </si>
  <si>
    <t>76187</t>
  </si>
  <si>
    <t>76800</t>
  </si>
  <si>
    <t>San Juan del Río</t>
  </si>
  <si>
    <t>77500</t>
  </si>
  <si>
    <t>Cancún</t>
  </si>
  <si>
    <t>Km. 0+000 del Boulevard Kukulkán, C.P. 77500, Cancún, Quintana Roo.</t>
  </si>
  <si>
    <t>77580</t>
  </si>
  <si>
    <t>77050</t>
  </si>
  <si>
    <t>77018</t>
  </si>
  <si>
    <t>77259</t>
  </si>
  <si>
    <t>79615</t>
  </si>
  <si>
    <t>79080</t>
  </si>
  <si>
    <t>79183</t>
  </si>
  <si>
    <t>Ébano</t>
  </si>
  <si>
    <t>79970</t>
  </si>
  <si>
    <t>Matlapa</t>
  </si>
  <si>
    <t>Av. Francisco I. Madero Sur No. 123, Matlapa Centro, Barrio San Agustín, C.P. 79970, Matlapa, San Luis Potosí.</t>
  </si>
  <si>
    <t>79610</t>
  </si>
  <si>
    <t>Río verde</t>
  </si>
  <si>
    <t>78269</t>
  </si>
  <si>
    <t>Av. Himno Nacional No. 2032, Fraccionamiento Tangamanga, C.P. 78269, San Luis Potosí, San Luis Potosí.</t>
  </si>
  <si>
    <t>78395</t>
  </si>
  <si>
    <t>Av. Sindicatos No. 100, Col. Zona Industrial, C.P. 78395, San Luis Potosí, San Luis Potosí.</t>
  </si>
  <si>
    <t>78140</t>
  </si>
  <si>
    <t>Fray Diego de la Magdalena S/N, Parque Tangamanga No. 2, Col. Industrial Aviación, C.P. 78140, San Luis Potosí, San Luis Potosí.</t>
  </si>
  <si>
    <t>90100</t>
  </si>
  <si>
    <t>90062</t>
  </si>
  <si>
    <t>98604</t>
  </si>
  <si>
    <t>98400</t>
  </si>
  <si>
    <t>Rio Grande</t>
  </si>
  <si>
    <t>99700</t>
  </si>
  <si>
    <t>Tlaltenango</t>
  </si>
  <si>
    <t>98600</t>
  </si>
  <si>
    <t>99100</t>
  </si>
  <si>
    <t>Sombrerete</t>
  </si>
  <si>
    <t>87760</t>
  </si>
  <si>
    <t>89600</t>
  </si>
  <si>
    <t>Altamira</t>
  </si>
  <si>
    <t>89000</t>
  </si>
  <si>
    <t>87030</t>
  </si>
  <si>
    <t>Libramiento Emilio Portes Gil Núm. 200 Col. Miguel Alemán C.P. 87030, Ciudad Victoria, Tamaulipas.</t>
  </si>
  <si>
    <t>89100</t>
  </si>
  <si>
    <t>Tampico</t>
  </si>
  <si>
    <t>Calle Lomas del Palmar No. 205, Col. Lomas de Rosales, Tampico, Tamaulipas, 89100.</t>
  </si>
  <si>
    <t>89800</t>
  </si>
  <si>
    <t>El Mante</t>
  </si>
  <si>
    <t>87071</t>
  </si>
  <si>
    <t>Calle Expropiación Petrolera No. 1510, Fraccionamiento Fuego Nuevo, Ciudad Victoria, Tamaulipas, 87071.</t>
  </si>
  <si>
    <t>67700</t>
  </si>
  <si>
    <t>Linares</t>
  </si>
  <si>
    <t>89510</t>
  </si>
  <si>
    <t>Madero</t>
  </si>
  <si>
    <t>93995</t>
  </si>
  <si>
    <t>Pánuco</t>
  </si>
  <si>
    <t>87618</t>
  </si>
  <si>
    <t>San Fernando</t>
  </si>
  <si>
    <t>87950</t>
  </si>
  <si>
    <t>52989</t>
  </si>
  <si>
    <t>Atizapán de Zaragoza</t>
  </si>
  <si>
    <t>07950,</t>
  </si>
  <si>
    <t>09890,</t>
  </si>
  <si>
    <t>54660</t>
  </si>
  <si>
    <t>Coyotepec</t>
  </si>
  <si>
    <t>54800</t>
  </si>
  <si>
    <t>Cuautitlán</t>
  </si>
  <si>
    <t>55040</t>
  </si>
  <si>
    <t>Ecatepec</t>
  </si>
  <si>
    <t>Av. Recursos Hidráulicos No. 23, Colonia Ejidos de San Cristóbal, C.P. 55040, Ecatepec, Estado de México.</t>
  </si>
  <si>
    <t>51000</t>
  </si>
  <si>
    <t>Camino a Presa Chilesdo Km. 2.2, Col. Manzana de Castle, C.P. 51000, Estado de México.</t>
  </si>
  <si>
    <t>51230</t>
  </si>
  <si>
    <t>Camino Presa Valle de Bravo a Villa Colorines S/N, Colonia Villa de Colorines, C.P. 51230, Estado de México.</t>
  </si>
  <si>
    <t>51070</t>
  </si>
  <si>
    <t>50985</t>
  </si>
  <si>
    <t>52790</t>
  </si>
  <si>
    <t>Huixquilucan</t>
  </si>
  <si>
    <t>50900</t>
  </si>
  <si>
    <t>52047</t>
  </si>
  <si>
    <t>Lerma de Villada</t>
  </si>
  <si>
    <t>Los Berros Villa de Allende</t>
  </si>
  <si>
    <t>61539</t>
  </si>
  <si>
    <t>61426</t>
  </si>
  <si>
    <t>55036</t>
  </si>
  <si>
    <t>San Cristóbal Ecatepec</t>
  </si>
  <si>
    <t>55760</t>
  </si>
  <si>
    <t>Av. El Huérfano #10, Colonia San Francisco Cuautliquixca, C.P. 55760, Tecámac, Estado de México.</t>
  </si>
  <si>
    <t>55650</t>
  </si>
  <si>
    <t>Carretera Reyes Apaxco Km. 22.7 Barrio de San Miguel, C.P. 55650, Tequixquiac Estado de México.</t>
  </si>
  <si>
    <t>56530</t>
  </si>
  <si>
    <t>56100</t>
  </si>
  <si>
    <t>43801</t>
  </si>
  <si>
    <t>Tizayuca</t>
  </si>
  <si>
    <t>Km. 2 Carretera a San Bartolo Cuautlalpan S/N, Colonia Lázaro Cárdenas, Frente a la Subestación de CFE, C.P. 43801, Tizayuca Hidalgo.</t>
  </si>
  <si>
    <t>Toluca</t>
  </si>
  <si>
    <t>San Pablo Autopan, Toluca, Estado de México.</t>
  </si>
  <si>
    <t>54990</t>
  </si>
  <si>
    <t>Tultepec</t>
  </si>
  <si>
    <t>54945</t>
  </si>
  <si>
    <t>Tultitlan</t>
  </si>
  <si>
    <t>Valle de las Alamedas S/N, Fraccionamiento Izcalli del Valle, C.P. 54945, Tultitlan Estado de México.</t>
  </si>
  <si>
    <t>51200</t>
  </si>
  <si>
    <t>Valle de Bravo</t>
  </si>
  <si>
    <t>56227</t>
  </si>
  <si>
    <t>Calle Diego Rivera S/N, Colonia Emiliano Zapata ISSSTE, C.P. 56227 Texcoco Estado de México.</t>
  </si>
  <si>
    <t>62260</t>
  </si>
  <si>
    <t>62000</t>
  </si>
  <si>
    <t>62290</t>
  </si>
  <si>
    <t>Calle Sonora No. 726, Col. Vista Hermosa C.P. 62290 Cuernavaca, Morelos.</t>
  </si>
  <si>
    <t>62785</t>
  </si>
  <si>
    <t>Cuauhtémoc No.2 Col. Centro Galeana C.P. 62785 Zacatepec, Morelos.</t>
  </si>
  <si>
    <t>69000</t>
  </si>
  <si>
    <t>Huajuapan de León</t>
  </si>
  <si>
    <t>Lerdo</t>
  </si>
  <si>
    <t>Periférico Gómez Palacio - Lerdo, Km 17. Carretera Federal 40. Lerdo, Durango.</t>
  </si>
  <si>
    <t>27010</t>
  </si>
  <si>
    <t>35150</t>
  </si>
  <si>
    <t>27250</t>
  </si>
  <si>
    <t>35704</t>
  </si>
  <si>
    <t>Nazas</t>
  </si>
  <si>
    <t>27445</t>
  </si>
  <si>
    <t>Matamoros</t>
  </si>
  <si>
    <t>27907</t>
  </si>
  <si>
    <t>Francisco I Madero</t>
  </si>
  <si>
    <t>27845</t>
  </si>
  <si>
    <t>San Pedro</t>
  </si>
  <si>
    <t>30580</t>
  </si>
  <si>
    <t>Acapetahua</t>
  </si>
  <si>
    <t>30454</t>
  </si>
  <si>
    <t>Arriaga</t>
  </si>
  <si>
    <t>30799</t>
  </si>
  <si>
    <t>29270</t>
  </si>
  <si>
    <t>San Cristóbal de las Casas</t>
  </si>
  <si>
    <t>30090</t>
  </si>
  <si>
    <t>Comitán de Domínguez</t>
  </si>
  <si>
    <t>30780</t>
  </si>
  <si>
    <t>Cuidad Hidalgo</t>
  </si>
  <si>
    <t>30362</t>
  </si>
  <si>
    <t>La Concordia</t>
  </si>
  <si>
    <t>30789</t>
  </si>
  <si>
    <t>Tapachula</t>
  </si>
  <si>
    <t>29020</t>
  </si>
  <si>
    <t>30200</t>
  </si>
  <si>
    <t>Venustiano Carranza</t>
  </si>
  <si>
    <t>29023</t>
  </si>
  <si>
    <t>Los Laguitos</t>
  </si>
  <si>
    <t>30109</t>
  </si>
  <si>
    <t>94298</t>
  </si>
  <si>
    <t>Boca del Río</t>
  </si>
  <si>
    <t>96536</t>
  </si>
  <si>
    <t>Coatzacoalcos</t>
  </si>
  <si>
    <t>96400</t>
  </si>
  <si>
    <t>96384</t>
  </si>
  <si>
    <t>95427</t>
  </si>
  <si>
    <t>94320</t>
  </si>
  <si>
    <t>Orizaba</t>
  </si>
  <si>
    <t>68470</t>
  </si>
  <si>
    <t>San Lucas Ojitlán</t>
  </si>
  <si>
    <t>92820</t>
  </si>
  <si>
    <t>Tuxpan</t>
  </si>
  <si>
    <t>95200</t>
  </si>
  <si>
    <t>Joachin</t>
  </si>
  <si>
    <t>91193</t>
  </si>
  <si>
    <t>Tlacuilolapa</t>
  </si>
  <si>
    <t>46600</t>
  </si>
  <si>
    <t>Ameca</t>
  </si>
  <si>
    <t>Salvador Zúñiga No. 33, Colonia Centro, C.P. 46600, Ameca, Jalisco.</t>
  </si>
  <si>
    <t>46200</t>
  </si>
  <si>
    <t>Colotlán</t>
  </si>
  <si>
    <t>47981</t>
  </si>
  <si>
    <t>Degollado</t>
  </si>
  <si>
    <t>Domicilio Conocido, Camino a la Presa, Poblado de Huascato, C.P. 47981, Degollado, Jalisco.</t>
  </si>
  <si>
    <t>48740</t>
  </si>
  <si>
    <t>El Grullo</t>
  </si>
  <si>
    <t>Av. Hidalgo No. 354, Col Centro, C.P. 48740, El Grullo, Jalisco.</t>
  </si>
  <si>
    <t>44100</t>
  </si>
  <si>
    <t>Avenida Federalismo Norte No. 275, Colonia Centro, C.P. 44100, Guadalajara, Jalisco.</t>
  </si>
  <si>
    <t>44660</t>
  </si>
  <si>
    <t>Paseo del Torreón No 2150, Col. Villa de los Colomos, Interior del Parque de los Colomos, C.P. 44660, Guadalajara, Jalisco.</t>
  </si>
  <si>
    <t>47400</t>
  </si>
  <si>
    <t>Lagos de Moreno</t>
  </si>
  <si>
    <t>47801</t>
  </si>
  <si>
    <t>Ocotlán</t>
  </si>
  <si>
    <t>Av. 20 Noviembre No. 29, Col. 6 de Noviembre, C.P. 47801, Ocotlán , Jalisco.</t>
  </si>
  <si>
    <t>45610</t>
  </si>
  <si>
    <t>Tlaquepaque</t>
  </si>
  <si>
    <t>Avenida Adoph B. Horn Jr. No 565, Toluquilla, C.P. 45610, Tlaquepaque, Jalisco.</t>
  </si>
  <si>
    <t>48450</t>
  </si>
  <si>
    <t>Tomatlán</t>
  </si>
  <si>
    <t>Domicilio Conocido, Presa Cajón de Peña, Margen Derecho de la Presa, C.P. 48450, Tomatlán, Jalisco.</t>
  </si>
  <si>
    <t>48001</t>
  </si>
  <si>
    <t>Unión de Tula</t>
  </si>
  <si>
    <t>Domicilio Conocido, Presa Trigomil, C.P. 48001, Unión de Tula, Jalisco.</t>
  </si>
  <si>
    <t>4900</t>
  </si>
  <si>
    <t>Zapotlán El Grande</t>
  </si>
  <si>
    <t>Miguel Hidalgo No. 675, Colonia Centro, C.P. 4900, Zapotlán El Grande, Jalisco.</t>
  </si>
  <si>
    <t>83750</t>
  </si>
  <si>
    <t>Altar</t>
  </si>
  <si>
    <t>Gonzalo Zendai No.33, Col Buenos Aires, C.P. 83750, Altar, Sonora (30°42' 52'' N, 111°50' 05'' O).</t>
  </si>
  <si>
    <t>83280</t>
  </si>
  <si>
    <t>83080</t>
  </si>
  <si>
    <t>83050</t>
  </si>
  <si>
    <t>85000</t>
  </si>
  <si>
    <t>Cajeme</t>
  </si>
  <si>
    <t>Norman Bourlaug Esq. Con Calle 800, Col. Valle del Yaqui, C.P. 85000, Cajeme, Sonora.</t>
  </si>
  <si>
    <t>85330</t>
  </si>
  <si>
    <t>Empalme</t>
  </si>
  <si>
    <t>Fraccionamiento Libertad, Manzana 111, Col. Libertad, C.P. 85330, Empalme, Sonora.</t>
  </si>
  <si>
    <t>83550</t>
  </si>
  <si>
    <t>Puerto Peñasco</t>
  </si>
  <si>
    <t>Cerro de la Ballena S/N Calle 1° Junio y 16 de Sept Col. El Puerto C.P. 83550, Puerto Peñasco, Sonora.</t>
  </si>
  <si>
    <t>83340</t>
  </si>
  <si>
    <t>83079</t>
  </si>
  <si>
    <t>Pbro. Pedro Villegas Ramirez No. 34, Col. El Razo, C.P. 83079, Hermosillo, Sonora.</t>
  </si>
  <si>
    <t>85390</t>
  </si>
  <si>
    <t>Av. 1 de Mayo y Oriente Final S/N, Col. Jordán, C.P. 85390, Empalme, Sonora.</t>
  </si>
  <si>
    <t>85510</t>
  </si>
  <si>
    <t>Vicam</t>
  </si>
  <si>
    <t>85800</t>
  </si>
  <si>
    <t>Navojoa</t>
  </si>
  <si>
    <t>Pesqueira y Jiménez Esq. Col Centro, C.P. 85800, Navojoa, Sonora.</t>
  </si>
  <si>
    <t>83460</t>
  </si>
  <si>
    <t>Caborca</t>
  </si>
  <si>
    <t>Calle 5 Álvaro Obregón y Av. W #34, Col. Industrial, C.P. 83460, Caborca, Sonora.</t>
  </si>
  <si>
    <t>81320</t>
  </si>
  <si>
    <t>Ahome</t>
  </si>
  <si>
    <t>81600</t>
  </si>
  <si>
    <t>Angostura</t>
  </si>
  <si>
    <t>81700</t>
  </si>
  <si>
    <t>Choix</t>
  </si>
  <si>
    <t>Carretera a Huites No. 194, Col Centro, C.P. 81700, Choix, Sinaloa.</t>
  </si>
  <si>
    <t>08015,</t>
  </si>
  <si>
    <t>80170</t>
  </si>
  <si>
    <t>Bahía de Altamira No. 1535, Col. Nuevo Culiacán, C.P. 80170, Culiacán, Sinaloa.</t>
  </si>
  <si>
    <t>80450</t>
  </si>
  <si>
    <t>81400</t>
  </si>
  <si>
    <t>Guamúchil</t>
  </si>
  <si>
    <t>81000</t>
  </si>
  <si>
    <t>Guasave</t>
  </si>
  <si>
    <t>Zaragoza y Blas Valenzuela S/N, Edificio Carlón, Piso 4, C.P. 81000, Guasave, Sinaloa.</t>
  </si>
  <si>
    <t>82700</t>
  </si>
  <si>
    <t>La Cruz</t>
  </si>
  <si>
    <t>81200</t>
  </si>
  <si>
    <t>Los Mochis</t>
  </si>
  <si>
    <t>81215</t>
  </si>
  <si>
    <t>82000</t>
  </si>
  <si>
    <t>Mazatlán</t>
  </si>
  <si>
    <t>82010</t>
  </si>
  <si>
    <t>82200</t>
  </si>
  <si>
    <t>82129</t>
  </si>
  <si>
    <t>80320</t>
  </si>
  <si>
    <t>Navolato</t>
  </si>
  <si>
    <t>Almada y Juárez S/N, C.P. 80320, Navolato, Sinaloa.</t>
  </si>
  <si>
    <t>Esquina Calle Hidalgo y Palo Verde, S/N, Villa Adolfo López Mateos, El Tamarindo, Culiacán, Sinaloa.</t>
  </si>
  <si>
    <t>70110</t>
  </si>
  <si>
    <t>Ciudad Ixtepec</t>
  </si>
  <si>
    <t>71803</t>
  </si>
  <si>
    <t>San José del Progreso, Tututepec</t>
  </si>
  <si>
    <t>68050</t>
  </si>
  <si>
    <t>68048</t>
  </si>
  <si>
    <t>68033</t>
  </si>
  <si>
    <t>70902</t>
  </si>
  <si>
    <t>Puerto Ángel</t>
  </si>
  <si>
    <t>70704</t>
  </si>
  <si>
    <t>Salina Cruz</t>
  </si>
  <si>
    <t>68130</t>
  </si>
  <si>
    <t>San Juan Bautista La Raya</t>
  </si>
  <si>
    <t>70710</t>
  </si>
  <si>
    <t>Santa María Jalapa del Marques</t>
  </si>
  <si>
    <t>70760</t>
  </si>
  <si>
    <t>Santo Domingo Tehuantepec</t>
  </si>
  <si>
    <t>22810</t>
  </si>
  <si>
    <t>Ensenada</t>
  </si>
  <si>
    <t>21100</t>
  </si>
  <si>
    <t>21705</t>
  </si>
  <si>
    <t>21850</t>
  </si>
  <si>
    <t>San Felipe Mexicali</t>
  </si>
  <si>
    <t>Av. San José del Cabo No. 613, Playa de San Felipe Mexicali, Baja California: C.P. 21850.</t>
  </si>
  <si>
    <t>21500</t>
  </si>
  <si>
    <t>Tecate</t>
  </si>
  <si>
    <t>21930</t>
  </si>
  <si>
    <t>San Luis Rio Colorado</t>
  </si>
  <si>
    <t>21720</t>
  </si>
  <si>
    <t>83500</t>
  </si>
  <si>
    <t>21980</t>
  </si>
  <si>
    <t>22740</t>
  </si>
  <si>
    <t>Tijuana</t>
  </si>
  <si>
    <t>22800</t>
  </si>
  <si>
    <t>Av. Obregón y Calle Segunda Zona Centro , Ensenada Baja California. C.P. 22800.</t>
  </si>
  <si>
    <t>97246</t>
  </si>
  <si>
    <t>97238</t>
  </si>
  <si>
    <t>97880</t>
  </si>
  <si>
    <t>Oxkutzcab</t>
  </si>
  <si>
    <t>97700</t>
  </si>
  <si>
    <t>Tizimin</t>
  </si>
  <si>
    <t>Km. 17 Tizimin-Col. Yucatán, Tizimin, Yucatán, C.P. 97700.</t>
  </si>
  <si>
    <t>97970</t>
  </si>
  <si>
    <t>Becanchen</t>
  </si>
  <si>
    <t>Km. 30, Tekax-Santiago Buenavista, Becanchen, Yucatán, C.P. 97970.</t>
  </si>
  <si>
    <t>97269</t>
  </si>
  <si>
    <t>Km. 4.5 Av. Aviación, Carretera Mérida-Campeche, Mérida, Yucatán, C.P. 97269.</t>
  </si>
  <si>
    <t>97320</t>
  </si>
  <si>
    <t>Progreso</t>
  </si>
  <si>
    <t>Carretera Progreso-Chicxulub, Km. 0.7, Progreso, Yucatán, C.P. 97320.</t>
  </si>
  <si>
    <t>97780</t>
  </si>
  <si>
    <t>Valladolid</t>
  </si>
  <si>
    <t>Calle 60 X 37 No. 191 Col. Bacalar, Valladolid, Yucatán, C.P. 97780.</t>
  </si>
  <si>
    <t>64590</t>
  </si>
  <si>
    <t>88780</t>
  </si>
  <si>
    <t>67317</t>
  </si>
  <si>
    <t>Santiago</t>
  </si>
  <si>
    <t>67817</t>
  </si>
  <si>
    <t>67050</t>
  </si>
  <si>
    <t>China</t>
  </si>
  <si>
    <t>65030</t>
  </si>
  <si>
    <t>25410</t>
  </si>
  <si>
    <t>88900</t>
  </si>
  <si>
    <t>87555</t>
  </si>
  <si>
    <t>87500</t>
  </si>
  <si>
    <t>88400</t>
  </si>
  <si>
    <t>88470</t>
  </si>
  <si>
    <t>66610</t>
  </si>
  <si>
    <t>Apodaca</t>
  </si>
  <si>
    <t>Calle Morelos No. 44 Ocotlán Tlaxcala, Tlaxcala, C.P. 90100.</t>
  </si>
  <si>
    <t>Insurgentes Sur No. 2416, Col. Copilco El Bajo, Alc. Coyoacán, C.P. 04340, CDMX.</t>
  </si>
  <si>
    <t>Av. Adolfo López Mateos S/N, Vaso Regulador “El Cristo”, Tlalnepantla de Baz, Estado de México.</t>
  </si>
  <si>
    <t>Centro de Visitantes del Parque Ecológico Lago de Texcoco – Kilómetro 7.5 de la Autopista Peñón – Texcoco, Estado de México.</t>
  </si>
  <si>
    <t>Av. Observatorio 192, Col. Observatorio, Alcaldía Miguel Hidalgo, C.P. 11860, CDMX.</t>
  </si>
  <si>
    <t>Cuernavaca</t>
  </si>
  <si>
    <t>Zacatepec</t>
  </si>
  <si>
    <t>Carretera Tuxpan-Agostitlan Km. 4, Ejido El Malacate, C.P. 61426, Michoacán.</t>
  </si>
  <si>
    <t>Ejido El Malacate</t>
  </si>
  <si>
    <t>Ejido Los Zapotes</t>
  </si>
  <si>
    <t>San José de Llanos</t>
  </si>
  <si>
    <t>Apatzingán</t>
  </si>
  <si>
    <t>Yurécuaro</t>
  </si>
  <si>
    <t>Sahuayo</t>
  </si>
  <si>
    <t>Ejido Nuevo León</t>
  </si>
  <si>
    <t>Oficinas Centrales - Insurgentes Sur No. 2416, Col. Copilco El Bajo, Alc. Coyoacán, C.P. 04340, CDMX.</t>
  </si>
  <si>
    <t>Oficinas Centrales - Av. Adolfo López Mateos S/N, Vaso Regulador “El Cristo”, Tlalnepantla de Baz, Estado de México.</t>
  </si>
  <si>
    <t>Oficinas Centrales - Centro de Visitantes del Parque Ecológico Lago de Texcoco – Kilómetro 7.5 de la Autopista Peñón – Texcoco, Estado de México.</t>
  </si>
  <si>
    <t>Coordinación General del Servicio Meteorológico Nacional - Av. Observatorio 192, Col. Observatorio, Alcaldía Miguel Hidalgo, C.P. 11860, CDMX.</t>
  </si>
  <si>
    <t>Dirección Local Baja California Sur - Altos de Cerro Prieto S/No., Colonia 4 de Marzo, C.P. 23472, Cabo San Lucas, Baja California Sur.</t>
  </si>
  <si>
    <t>Dirección Local Coahuila - Av. Insurgentes No. 407, Col. El Mirador C.P. 26070, Piedras Negras, Coahuila.</t>
  </si>
  <si>
    <t>Dirección Local Coahuila - Capitán Leal No. 510, Col. Benito Juárez, C.P. 26215, Acuña, Coahuila.</t>
  </si>
  <si>
    <t>Dirección Local Coahuila - Carretera Zacatecas Km. 7.5, C.P. 25315, Saltillo Buena Vista, Coahuila.</t>
  </si>
  <si>
    <t>Dirección Local Coahuila - Pablo Valdez Hernández No. 208, Col. Compositores Mexicanos, C.P. 26070, Piedras Negras, Coahuila.</t>
  </si>
  <si>
    <t>Dirección Local Colima - Fco. I. Madero S/N Esq. Calle 9, Unidad Habitacional Padre Hidalgo, C.P. 28270, Manzanillo, Colima (19°02' 40.05” N, 104°19' 07.12” O).</t>
  </si>
  <si>
    <t>Dirección Local Estado de México - Km. 22.77 Carretera Reyes Apaxco, Barrio de San Miguel, Tequixquiac, Estado de México.</t>
  </si>
  <si>
    <t>Dirección Local Guanajuato - Calle Mina Norte Núm. 308, C.P. 36970, Abasolo, Guanajuato.</t>
  </si>
  <si>
    <t>Dirección Local Guanajuato - Carretera Federal Libre Celaya-Salamanca Km 86+250, Salamanca, Guanajuato.</t>
  </si>
  <si>
    <t>Dirección Local Guanajuato - Plaza Hidalgo No. 1-A, Edif. Copieg, Col. Centro, C.P. 36000 Guanajuato, Guanajuato.</t>
  </si>
  <si>
    <t>Dirección Local Guerrero - Aeropuerto Internacional de Acapulco, Juan N. Álvarez, C.P. 39931, Acapulco, Guerrero (16°54'24.60” N, 99°59’05.90” O).</t>
  </si>
  <si>
    <t>Dirección Local Guerrero - Av. Rey Irepán No. 11001, Oriente, Col. Vicente Guerrero, C.P. 40662, Altamirano, Guerrero. (18°21'28.76 N, 100°39’58.67” O).</t>
  </si>
  <si>
    <t>Dirección Local Guerrero - Av. Ruffo Figueroa No. 2, Col Burócratas. C.P. 39090. Chilpancingo, Guerrero. (17°31'37.93” N, 99°29'08.31” O).</t>
  </si>
  <si>
    <t>Dirección Local Guerrero - Av. Sur No.1 Col. Insurgentes, C.P. 40030, Iguala de la Independencia, Guerrero. (18°21'21.02” N, 99°32’13.98'' O).</t>
  </si>
  <si>
    <t>Dirección Local Guerrero - Boulevard Vicente Guerrero Km. 270.5 (Autopista México-Acapulco) Col. Universal C.P. 39080 Chilpancingo, Guerrero. (17°30'54.61” N, 99°28’53.66” O).</t>
  </si>
  <si>
    <t>Dirección Local Guerrero - Carretera Acapulco-Pinotepa Nacional Km. 202, Col. Centro, C.P. 41940, Cuajinicuilapa, Guerrero. (16°30’50” N, 98°31'50'' O).</t>
  </si>
  <si>
    <t>Dirección Local Guerrero - Palacio Federal Av. Costera Miguel Alemán 315, Centro, 39300 Acapulco de Juárez, Gro (16.849341100287862, -99.90608151193207).</t>
  </si>
  <si>
    <t>Dirección Local Guerrero - Prolongación Insurgentes S/N, Col. Silvestre G. Mariscal, C.P. 40930, Atoyac de Álvarez, Guerrero. (17°12’28.62” N, 100°25'58.25” O).</t>
  </si>
  <si>
    <t>Dirección Local Michoacán - Carretera Sahuayo Venustiano Carranza No. 1400 Col. Paso de las Águilas C.P. 59000 Sahuayo, Michoacán.</t>
  </si>
  <si>
    <t>Dirección Local Michoacán - Km. 7 Carretera Antigua a Pátzcuaro, S/N, Presa Cointzio, Morelia, Michoacán.</t>
  </si>
  <si>
    <t>Dirección Local Puebla - Boulevard México 68, No. 5020, Col. México 68, C.P. 72300, Puebla, Puebla. (19°03'17.91" N, 98°09'46.81" O).</t>
  </si>
  <si>
    <t>Dirección Local Puebla - Calle 9 Poniente S/N, Col. Barrio de San Sebastián, C.P. 75480, Tecamachalco, Puebla. (18°52'58.95'' N, 97°44'02.16'' O) Planta Baja.</t>
  </si>
  <si>
    <t>Dirección Local Quintana Roo - Km. 0+000 del Boulevard Kukulkán, C.P. 77500, Cancún, Quintana Roo.</t>
  </si>
  <si>
    <t>Dirección Local San Luis Potosí - Av. Francisco I. Madero Sur No. 123, Matlapa Centro, Barrio San Agustín, C.P. 79970, Matlapa, San Luis Potosí.</t>
  </si>
  <si>
    <t>Dirección Local San Luis Potosí - Av. Himno Nacional No. 2032, Fraccionamiento Tangamanga, C.P. 78269, San Luis Potosí, San Luis Potosí.</t>
  </si>
  <si>
    <t>Dirección Local San Luis Potosí - Av. Sindicatos No. 100, Col. Zona Industrial, C.P. 78395, San Luis Potosí, San Luis Potosí.</t>
  </si>
  <si>
    <t>Dirección Local San Luis Potosí - Fray Diego de la Magdalena S/N, Parque Tangamanga No. 2, Col. Industrial Aviación, C.P. 78140, San Luis Potosí, San Luis Potosí.</t>
  </si>
  <si>
    <t>Dirección Local Tlaxcala - Calle Morelos No. 44 Ocotlán Tlaxcala, Tlaxcala, C.P. 90100.</t>
  </si>
  <si>
    <t>Organismo de Cuenca Aguas del Valle de México - Av. El Huérfano #10, Colonia San Francisco Cuautliquixca, C.P. 55760, Tecámac, Estado de México.</t>
  </si>
  <si>
    <t>Organismo de Cuenca Aguas del Valle de México - Av. Recursos Hidráulicos No. 23, Colonia Ejidos de San Cristóbal, C.P. 55040, Ecatepec, Estado de México.</t>
  </si>
  <si>
    <t>Organismo de Cuenca Aguas del Valle de México - Calle Diego Rivera S/N, Colonia Emiliano Zapata ISSSTE, C.P. 56227 Texcoco Estado de México.</t>
  </si>
  <si>
    <t>Organismo de Cuenca Aguas del Valle de México - Camino a Presa Chilesdo Km. 2.2, Col. Manzana de Castle, C.P. 51000, Estado de México.</t>
  </si>
  <si>
    <t>Organismo de Cuenca Aguas del Valle de México - Camino Presa Valle de Bravo a Villa Colorines S/N, Colonia Villa de Colorines, C.P. 51230, Estado de México.</t>
  </si>
  <si>
    <t>Organismo de Cuenca Aguas del Valle de México - Carretera Reyes Apaxco Km. 22.7 Barrio de San Miguel, C.P. 55650, Tequixquiac Estado de México.</t>
  </si>
  <si>
    <t>Organismo de Cuenca Aguas del Valle de México - Km. 2 Carretera a San Bartolo Cuautlalpan S/N, Colonia Lázaro Cárdenas, Frente a la Subestación de CFE, C.P. 43801, Tizayuca Hidalgo.</t>
  </si>
  <si>
    <t>Organismo de Cuenca Aguas del Valle de México - San Pablo Autopan, Toluca, Estado de México.</t>
  </si>
  <si>
    <t>Organismo de Cuenca Aguas del Valle de México - Valle de las Alamedas S/N, Fraccionamiento Izcalli del Valle, C.P. 54945, Tultitlan Estado de México.</t>
  </si>
  <si>
    <t>Organismo de Cuenca Balsas - Calle Sonora No. 726, Col. Vista Hermosa C.P. 62290 Cuernavaca, Morelos.</t>
  </si>
  <si>
    <t>Organismo de Cuenca Balsas - Cuauhtémoc No.2 Col. Centro Galeana C.P. 62785 Zacatepec, Morelos.</t>
  </si>
  <si>
    <t>Organismo de Cuenca Cuencas Centrales del Norte - Periférico Gómez Palacio - Lerdo, Km 17. Carretera Federal 40. Lerdo, Durango.</t>
  </si>
  <si>
    <t>Organismo de Cuenca Golfo Norte - Calle Expropiación Petrolera No. 1510, Fraccionamiento Fuego Nuevo, Ciudad Victoria, Tamaulipas, 87071.</t>
  </si>
  <si>
    <t>Organismo de Cuenca Golfo Norte - Calle Lomas del Palmar No. 205, Col. Lomas de Rosales, Tampico, Tamaulipas, 89100.</t>
  </si>
  <si>
    <t>Organismo de Cuenca Golfo Norte - Libramiento Emilio Portes Gil Núm. 200 Col. Miguel Alemán C.P. 87030, Ciudad Victoria, Tamaulipas.</t>
  </si>
  <si>
    <t>Organismo de Cuenca Lerma Santiago Pacífico - Av. 20 Noviembre No. 29, Col. 6 de Noviembre, C.P. 47801, Ocotlán , Jalisco.</t>
  </si>
  <si>
    <t>Organismo de Cuenca Lerma Santiago Pacífico - Av. Hidalgo No. 354, Col Centro, C.P. 48740, El Grullo, Jalisco.</t>
  </si>
  <si>
    <t>Organismo de Cuenca Lerma Santiago Pacífico - Avenida Adoph B. Horn Jr. No 565, Toluquilla, C.P. 45610, Tlaquepaque, Jalisco.</t>
  </si>
  <si>
    <t>Organismo de Cuenca Lerma Santiago Pacífico - Avenida Federalismo Norte No. 275, Colonia Centro, C.P. 44100, Guadalajara, Jalisco.</t>
  </si>
  <si>
    <t>Organismo de Cuenca Lerma Santiago Pacífico - Domicilio Conocido, Camino a la Presa, Poblado de Huascato, C.P. 47981, Degollado, Jalisco.</t>
  </si>
  <si>
    <t>Organismo de Cuenca Lerma Santiago Pacífico - Domicilio Conocido, Presa Cajón de Peña, Margen Derecho de la Presa, C.P. 48450, Tomatlán, Jalisco.</t>
  </si>
  <si>
    <t>Organismo de Cuenca Lerma Santiago Pacífico - Domicilio Conocido, Presa Trigomil, C.P. 48001, Unión de Tula, Jalisco.</t>
  </si>
  <si>
    <t>Organismo de Cuenca Lerma Santiago Pacífico - Miguel Hidalgo No. 675, Colonia Centro, C.P. 4900, Zapotlán El Grande, Jalisco.</t>
  </si>
  <si>
    <t>Organismo de Cuenca Lerma Santiago Pacífico - Paseo del Torreón No 2150, Col. Villa de los Colomos, Interior del Parque de los Colomos, C.P. 44660, Guadalajara, Jalisco.</t>
  </si>
  <si>
    <t>Organismo de Cuenca Lerma Santiago Pacífico - Salvador Zúñiga No. 33, Colonia Centro, C.P. 46600, Ameca, Jalisco.</t>
  </si>
  <si>
    <t>Organismo de Cuenca Noroeste - Av. 1 de Mayo y Oriente Final S/N, Col. Jordán, C.P. 85390, Empalme, Sonora.</t>
  </si>
  <si>
    <t>Organismo de Cuenca Noroeste - Calle 5 Álvaro Obregón y Av. W #34, Col. Industrial, C.P. 83460, Caborca, Sonora.</t>
  </si>
  <si>
    <t>Organismo de Cuenca Noroeste - Cerro de la Ballena S/N Calle 1° Junio y 16 de Sept Col. El Puerto C.P. 83550, Puerto Peñasco, Sonora.</t>
  </si>
  <si>
    <t>Organismo de Cuenca Noroeste - Fraccionamiento Libertad, Manzana 111, Col. Libertad, C.P. 85330, Empalme, Sonora.</t>
  </si>
  <si>
    <t>Organismo de Cuenca Noroeste - Gonzalo Zendai No.33, Col Buenos Aires, C.P. 83750, Altar, Sonora (30°42' 52'' N, 111°50' 05'' O).</t>
  </si>
  <si>
    <t>Organismo de Cuenca Noroeste - Norman Bourlaug Esq. Con Calle 800, Col. Valle del Yaqui, C.P. 85000, Cajeme, Sonora.</t>
  </si>
  <si>
    <t>Organismo de Cuenca Noroeste - Pbro. Pedro Villegas Ramirez No. 34, Col. El Razo, C.P. 83079, Hermosillo, Sonora.</t>
  </si>
  <si>
    <t>Organismo de Cuenca Noroeste - Pesqueira y Jiménez Esq. Col Centro, C.P. 85800, Navojoa, Sonora.</t>
  </si>
  <si>
    <t>Organismo de Cuenca Pacífico Norte - Almada y Juárez S/N, C.P. 80320, Navolato, Sinaloa.</t>
  </si>
  <si>
    <t>Organismo de Cuenca Pacífico Norte - Bahía de Altamira No. 1535, Col. Nuevo Culiacán, C.P. 80170, Culiacán, Sinaloa.</t>
  </si>
  <si>
    <t>Organismo de Cuenca Pacífico Norte - Carretera a Huites No. 194, Col Centro, C.P. 81700, Choix, Sinaloa.</t>
  </si>
  <si>
    <t>Organismo de Cuenca Pacífico Norte - Esquina Calle Hidalgo y Palo Verde, S/N, Villa Adolfo López Mateos, El Tamarindo, Culiacán, Sinaloa.</t>
  </si>
  <si>
    <t>Organismo de Cuenca Pacífico Norte - Zaragoza y Blas Valenzuela S/N, Edificio Carlón, Piso 4, C.P. 81000, Guasave, Sinaloa.</t>
  </si>
  <si>
    <t>Organismo de Cuenca Península de Baja California - Av. Obregón y Calle Segunda Zona Centro , Ensenada Baja California. C.P. 22800.</t>
  </si>
  <si>
    <t>Organismo de Cuenca Península de Baja California - Av. San José del Cabo No. 613, Playa de San Felipe Mexicali, Baja California: C.P. 21850.</t>
  </si>
  <si>
    <t>Organismo de Cuenca Península de Yucatán - Calle 60 X 37 No. 191 Col. Bacalar, Valladolid, Yucatán, C.P. 97780.</t>
  </si>
  <si>
    <t>Organismo de Cuenca Península de Yucatán - Carretera Progreso-Chicxulub, Km. 0.7, Progreso, Yucatán, C.P. 97320.</t>
  </si>
  <si>
    <t>Organismo de Cuenca Península de Yucatán - Km. 17 Tizimin-Col. Yucatán, Tizimin, Yucatán, C.P. 97700.</t>
  </si>
  <si>
    <t>Organismo de Cuenca Península de Yucatán - Km. 30, Tekax-Santiago Buenavista, Becanchen, Yucatán, C.P. 97970.</t>
  </si>
  <si>
    <t>Organismo de Cuenca Península de Yucatán - Km. 4.5 Av. Aviación, Carretera Mérida-Campeche, Mérida, Yucatán, C.P. 97269.</t>
  </si>
  <si>
    <t>Organismo de Cuenca Aguas del Valle de México - Carretera Tuxpan-Agostitlan Km. 4, Ejido El Malacate, C.P. 61426, Michoacán.</t>
  </si>
  <si>
    <t>Oficinas Centrales - Av. San Bernabé No. 549, Col. San Jerónimo Lídice, Alcaldía la Magdalena Contreras, C.P. 10200, CDMX.</t>
  </si>
  <si>
    <t>Av. San Bernabé No. 549, Col. San Jerónimo Lídice, Alcaldía la Magdalena Contreras, C.P. 10200, CDMX.</t>
  </si>
  <si>
    <t>Oficinas Centrales - Fernando Villalpando No. 110, P.B., Col. Guadalupe Inn, Alc. Álvaro Obregón, C.P. 01020. CDMX.</t>
  </si>
  <si>
    <t>Fernando Villalpando No. 110, P.B., Col. Guadalupe Inn, Alc. Álvaro Obregón, C.P. 01020. CDMX.</t>
  </si>
  <si>
    <t>Dirección Local Aguascalientes - Av. de la Convención de 1914 Sur No. 402-B, Fraccionamiento Lindavista, C.P. 20270, Aguascalientes, Aguascalientes.</t>
  </si>
  <si>
    <t>Av. de la Convención de 1914 Sur No. 402-B, Fraccionamiento Lindavista, C.P. 20270, Aguascalientes, Aguascalientes.</t>
  </si>
  <si>
    <t>Dirección Local Aguascalientes - Calle Guadalupe Delgado de Lira No. 100, Pb, Col. Progreso Norte, C.P. 20674, Pabellón de Arteaga, Aguascalientes.</t>
  </si>
  <si>
    <t>Calle Guadalupe Delgado de Lira No. 100, Pb, Col. Progreso Norte, C.P. 20674, Pabellón de Arteaga, Aguascalientes.</t>
  </si>
  <si>
    <t>Dirección Local Baja California Sur - Av. Ayuntamiento S/No., Col. Centro C.P. 23880, Ciudad Loreto, Baja California Sur.</t>
  </si>
  <si>
    <t>Loreto</t>
  </si>
  <si>
    <t>Dirección Local Baja California Sur - Boulevard Colosio E/ Durango y México. Col. Emiliano Zapata, C.P. 23070, La Paz, Baja California Sur.</t>
  </si>
  <si>
    <t>Boulevard Colosio E/ Durango y México. Col. Emiliano Zapata, C.P. 23070, La Paz, Baja California Sur.</t>
  </si>
  <si>
    <t>Dirección Local Baja California Sur - Calle Chiapas 2535 Entre Encinas y Legaspy, Col. los Olivos, C.P. 23040, La Paz, Baja California Sur.</t>
  </si>
  <si>
    <t>Calle Chiapas 2535 Entre Encinas y Legaspy, Col. los Olivos, C.P. 23040, La Paz, Baja California Sur.</t>
  </si>
  <si>
    <t>Mulegé</t>
  </si>
  <si>
    <t>Carretera a Bahía Tortugas Km. 8.0, Ejido Loma Bonita, C.P. 23935, Localidad Gustavo Díaz Ordaz, Municipio Mulegé, Baja California Sur.</t>
  </si>
  <si>
    <t>Dirección Local Baja California Sur - Domicilio Conocido S/N, Col. Bella Vista, C.P. 23920, Ciudad Santa Rosalía, Municipio Mulegé, Baja California Sur.</t>
  </si>
  <si>
    <t>Domicilio Conocido S/N, Col. Bella Vista, C.P. 23920, Ciudad Santa Rosalía, Municipio Mulegé, Baja California Sur.</t>
  </si>
  <si>
    <t>Dirección Local Baja California Sur - Km. 208 Carretera Al Sur, Pozos Navojoa Sección 1 C.P. 23739, Ciudad Constitución, Baja California Sur.</t>
  </si>
  <si>
    <t>Ciudad Constitución</t>
  </si>
  <si>
    <t>Km. 208 Carretera Al Sur, Pozos Navojoa Sección 1 C.P. 23739, Ciudad Constitución, Baja California Sur.</t>
  </si>
  <si>
    <t>Dirección Local Baja California Sur - México Esq. Con Bulevar Colosio Col. Emiliano Zapata, C.P. 23070, La Paz, Baja California Sur.</t>
  </si>
  <si>
    <t>México Esq. Con Bulevar Colosio Col. Emiliano Zapata, C.P. 23070, La Paz, Baja California Sur.</t>
  </si>
  <si>
    <t>Dirección Local Baja California Sur - Miguel Hidalgo E/ Boulevard Olachea y Lerdo de Tejada, Col. Centro C.P. 23600, Municipio Comondú, Ciudad Constitución, Baja California Sur.</t>
  </si>
  <si>
    <t>Miguel Hidalgo E/ Boulevard Olachea y Lerdo de Tejada, Col. Centro C.P. 23600, Municipio Comondú, Ciudad Constitución, Baja California Sur.</t>
  </si>
  <si>
    <t>Dirección Local Campeche - Av. Concordia S/N Interior de la Zona Naval; Col. Carmelo, C.P. 24075, San Francisco de Campeche, Campeche.</t>
  </si>
  <si>
    <t>Av. Concordia S/N Interior de la Zona Naval; Col. Carmelo, C.P. 24075, San Francisco de Campeche, Campeche.</t>
  </si>
  <si>
    <t>Dirección Local Campeche - Av. Pedro Sainz de Baranda S/N; Anexo C; Col. Ah-Kim-Pech; C.P. 24014; San Francisco de Campeche, Campeche.</t>
  </si>
  <si>
    <t>Av. Pedro Sainz de Baranda S/N; Anexo C; Col. Ah-Kim-Pech; C.P. 24014; San Francisco de Campeche, Campeche.</t>
  </si>
  <si>
    <t>Dirección Local Campeche - Calle Corregidora Con Aldama, Col Banco de Piedra, C.P. 24300, Sabancuy; Ciudad del Carmen, Campeche.</t>
  </si>
  <si>
    <t>Calle Corregidora Con Aldama, Col Banco de Piedra, C.P. 24300, Sabancuy; Ciudad del Carmen, Campeche.</t>
  </si>
  <si>
    <t>Dirección Local Chihuahua - Av. del Árbol No. 7, Col. Benito Juárez, C.P. 33800, Hidalgo del Parral, Chihuahua.</t>
  </si>
  <si>
    <t>Av. del Árbol No. 7, Col. Benito Juárez, C.P. 33800, Hidalgo del Parral, Chihuahua.</t>
  </si>
  <si>
    <t>Dirección Local Chihuahua - Av. Juárez S/N y Calle 27, Col. El Seguro, C.P. 31890, Buenaventura, Chihuahua.</t>
  </si>
  <si>
    <t>Av. Juárez S/N y Calle 27, Col. El Seguro, C.P. 31890, Buenaventura, Chihuahua.</t>
  </si>
  <si>
    <t>Dirección Local Chihuahua - Av. Universidad No. 3300, Col. Magisterial, C.P. 31310 Chihuahua, Chihuahua.</t>
  </si>
  <si>
    <t>Av. Universidad No. 3300, Col. Magisterial, C.P. 31310 Chihuahua, Chihuahua.</t>
  </si>
  <si>
    <t>Dirección Local Chihuahua - Bulevar M. Gómez Morín y Manuel J. Clouthier S/N, Fracc. El Pensamiento, Col. los Virreyes, C.P. 32451, Ciudad Juárez, Chihuahua.</t>
  </si>
  <si>
    <t>Ciudad Juárez</t>
  </si>
  <si>
    <t>Bulevar M. Gómez Morín y Manuel J. Clouthier S/N, Fracc. El Pensamiento, Col. los Virreyes, C.P. 32451, Ciudad Juárez, Chihuahua.</t>
  </si>
  <si>
    <t>Dirección Local Chihuahua - Calle del Refugio S/N, C.P. 31980, Temósachi, Chihuahua.</t>
  </si>
  <si>
    <t>Calle del Refugio S/N, C.P. 31980, Temósachi, Chihuahua.</t>
  </si>
  <si>
    <t>Dirección Local Chihuahua - Calle Independencia y Revolución S/N, Col. López Dávila, C.P. 32880, Ciudad Jiménez, Chihuahua.</t>
  </si>
  <si>
    <t>Jiménez</t>
  </si>
  <si>
    <t>Calle Independencia y Revolución S/N, Col. López Dávila, C.P. 32880, Ciudad Jiménez, Chihuahua.</t>
  </si>
  <si>
    <t>Dirección Local Chihuahua - Calle Manuel Gutiérrez Sáenz y Ramírez S/N, Centro, C.P. 31610, Ciudad Guerrero, Chihuahua.</t>
  </si>
  <si>
    <t>Calle Manuel Gutiérrez Sáenz y Ramírez S/N, Centro, C.P. 31610, Ciudad Guerrero, Chihuahua.</t>
  </si>
  <si>
    <t>Dirección Local Chihuahua - Calle Primera Norte y Av. Sexta No. 600-A, Col. Ciudad Delicias Centro, C.P. 33000, Ciudad Delicias, Chihuahua.</t>
  </si>
  <si>
    <t>Delicias</t>
  </si>
  <si>
    <t>Calle Primera Norte y Av. Sexta No. 600-A, Col. Ciudad Delicias Centro, C.P. 33000, Ciudad Delicias, Chihuahua.</t>
  </si>
  <si>
    <t>Dirección Local Chihuahua - Canal Principal Altavista-Ojo Caliente Km. 000 + 300, C.P. 33601, Ciudad Camargo, Chihuahua.</t>
  </si>
  <si>
    <t>Camargo</t>
  </si>
  <si>
    <t>Canal Principal Altavista-Ojo Caliente Km. 000 + 300, C.P. 33601, Ciudad Camargo, Chihuahua.</t>
  </si>
  <si>
    <t>Dirección Local Chihuahua - Canal Principal Módulo 1, Km. 9 + 450, Col. Cañada Ancha, C.P. 32880, Ciudad Ojinaga, Chihuahua.</t>
  </si>
  <si>
    <t>Ojinaga</t>
  </si>
  <si>
    <t>Canal Principal Módulo 1, Km. 9 + 450, Col. Cañada Ancha, C.P. 32880, Ciudad Ojinaga, Chihuahua.</t>
  </si>
  <si>
    <t>Dirección Local Chihuahua - Carretera Chihuahua-Aldama Vía Corta No. 8901, Ejido Tabaloapa, C.P. 31680, Chihuahua, Chihuahua.</t>
  </si>
  <si>
    <t>Carretera Chihuahua-Aldama Vía Corta No. 8901, Ejido Tabaloapa, C.P. 31680, Chihuahua, Chihuahua.</t>
  </si>
  <si>
    <t>Dirección Local Chihuahua - Carretera Sueco-Nuevo Casas Grandes S/N, Col. Centro, C.P. 31790, Flores Magón, Chihuahua.</t>
  </si>
  <si>
    <t>Carretera Sueco-Nuevo Casas Grandes S/N, Col. Centro, C.P. 31790, Flores Magón, Chihuahua.</t>
  </si>
  <si>
    <t>Dirección Local Chihuahua - Km. 2.5 Carretera a Casas Grandes, Rancho la Riqueña, C.P. 31720, Nuevo Casas Grandes, Chihuahua.</t>
  </si>
  <si>
    <t>Km. 2.5 Carretera a Casas Grandes, Rancho la Riqueña, C.P. 31720, Nuevo Casas Grandes, Chihuahua.</t>
  </si>
  <si>
    <t>Dirección Local Coahuila - Brasil y Argentina S/N, Col. Guadalupe Ahmsa, C.P. 25750, Monclova, Coahuila.</t>
  </si>
  <si>
    <t>Brasil y Argentina S/N, Col. Guadalupe Ahmsa, C.P. 25750, Monclova, Coahuila.</t>
  </si>
  <si>
    <t>Ciudad Acuña</t>
  </si>
  <si>
    <t>Dirección Local Coahuila - Carretera 57 Km. 7.5, Col. El Sauz Saltillo, C.P. 25294, Coahuila, Coahuila.</t>
  </si>
  <si>
    <t>Dirección Local Colima - Carretera Colima-Manzanillo a 1.5 Km de la Caseta de Cobro de Cuyutlán, Col. Armería, C.P. 28350, Cuyutlán, Colima (18°56' 06.33”N, 104°06' 02.55”O).</t>
  </si>
  <si>
    <t>Carretera Colima-Manzanillo a 1.5 Km de la Caseta de Cobro de Cuyutlán, Col. Armería, C.P. 28350, Cuyutlán, Colima (18°56' 06.33”N, 104°06' 02.55”O).</t>
  </si>
  <si>
    <t>Dirección Local Colima - Domicilio Conocido, Presa Troje, Carretera Colima-Coalcamán Km. 29, C.P. 49870, (18° 58' 14.45” N, 103° 23' 49.44” O).</t>
  </si>
  <si>
    <t>Dirección Local Durango - Av. 20 Noviembre No. 114, Col. Nueva Esperanza, C.P. 35600, Tepehuanes, Durango.</t>
  </si>
  <si>
    <t>Av. 20 Noviembre No. 114, Col. Nueva Esperanza, C.P. 35600, Tepehuanes, Durango.</t>
  </si>
  <si>
    <t>Dirección Local Durango - Av. de Hierro S/N, Col. Ciudad Industrial, C.P. 34210, Durango, Durango.</t>
  </si>
  <si>
    <t>Av. de Hierro S/N, Col. Ciudad Industrial, C.P. 34210, Durango, Durango.</t>
  </si>
  <si>
    <t>Dirección Local Durango - Bulevar. Francisco Villa Km 5.5, Edificio Sagarpa, Col. Ciudad Industrial, C.P. 34210, Durango, Durango.</t>
  </si>
  <si>
    <t>Bulevar. Francisco Villa Km 5.5, Edificio Sagarpa, Col. Ciudad Industrial, C.P. 34210, Durango, Durango.</t>
  </si>
  <si>
    <t>Dirección Local Durango - Edificio Palacio Federal, Av. Cobalto S/N, Col. Ciudad Industrial, C.P. 34208, Durango, Durango.</t>
  </si>
  <si>
    <t>Edificio Palacio Federal, Av. Cobalto S/N, Col. Ciudad Industrial, C.P. 34208, Durango, Durango.</t>
  </si>
  <si>
    <t>Dirección Local Estado de México - Av. Guerrero No. 30, Col. Centro, C.P. 54240, Jilotepec, Estado de México.</t>
  </si>
  <si>
    <t>Av. Guerrero No. 30, Col. Centro, C.P. 54240, Jilotepec, Estado de México.</t>
  </si>
  <si>
    <t>Dirección Local Estado de México - Av. Manuel Acuña No. 9, Col. Centro, C.P. 50450, Atlacomulco, Estado de México.</t>
  </si>
  <si>
    <t>Av. Manuel Acuña No. 9, Col. Centro, C.P. 50450, Atlacomulco, Estado de México.</t>
  </si>
  <si>
    <t>Dirección Local Estado de México - Avenida Estado de México No. 2301, Oriente, Col. Llano Grande, C.P. 52148, Metepec, Estado de México.</t>
  </si>
  <si>
    <t>Avenida Estado de México No. 2301, Oriente, Col. Llano Grande, C.P. 52148, Metepec, Estado de México.</t>
  </si>
  <si>
    <t>Dirección Local Estado de México - Campamento El Huérfano S/N, San Francisco Cuatlixca, C.P. 55000, Tecámac, Estado de México.</t>
  </si>
  <si>
    <t>Campamento El Huérfano S/N, San Francisco Cuatlixca, C.P. 55000, Tecámac, Estado de México.</t>
  </si>
  <si>
    <t>Dirección Local Estado de México - Paseo Adolfo López Mateos Km. 4.5, Barrio de la Veracruz, Linda Vista, Conjunto Sagarpa, C.P. 51356, San Miguel Zinacantepec, Estado de México.</t>
  </si>
  <si>
    <t>Paseo Adolfo López Mateos Km. 4.5, Barrio de la Veracruz, Linda Vista, Conjunto Sagarpa, C.P. 51356, San Miguel Zinacantepec, Estado de México.</t>
  </si>
  <si>
    <t>Dirección Local Guanajuato - Carretera Irapuato - Salamanca No. 5690 Ex Hacienda de Buenavista, Irapuato, Guanajuato. C.P. 36542.</t>
  </si>
  <si>
    <t>Carretera Irapuato - Salamanca No. 5690 Ex Hacienda de Buenavista, Irapuato, Guanajuato. C.P. 36542.</t>
  </si>
  <si>
    <t>Dom. Conocido En El Km. 4.250 de la Carretera Entronque San Miguel de Allende-Celaya a la Ciudad de Guanajuato, C.P. 37898,.</t>
  </si>
  <si>
    <t>Dirección Local Guanajuato - Dom. Conocido En Instalaciones de la Presa Solís, Km. 7 de la Carretera Acámbaro-Jerécuaro, C.P. 38750, Acámbaro, Guanajuato.</t>
  </si>
  <si>
    <t>Dom. Conocido En Instalaciones de la Presa Solís, Km. 7 de la Carretera Acámbaro-Jerécuaro, C.P. 38750, Acámbaro, Guanajuato.</t>
  </si>
  <si>
    <t>Dirección Local Guerrero - Aeropuerto de Chilpancingo. Autopista del Sol Km. 218, a Un Costado del Hangar, C.P. 39016, Chilpancingo, Guerrero (17°34’26.15” N, 99°31’01.60” O).</t>
  </si>
  <si>
    <t>Aeropuerto de Chilpancingo. Autopista del Sol Km. 218, a Un Costado del Hangar, C.P. 39016, Chilpancingo, Guerrero (17°34’26.15” N, 99°31’01.60” O).</t>
  </si>
  <si>
    <t>Dirección Local Guerrero - Carretera Nacional las Vigas Pinotepa S/N, Campamento Cna, C.P. 39990, Domicilio Conocido las Vigas, Municipio de San Marcos, Guerrero.</t>
  </si>
  <si>
    <t>Carretera Nacional las Vigas Pinotepa S/N, Campamento Cna, C.P. 39990, Domicilio Conocido las Vigas, Municipio de San Marcos, Guerrero.</t>
  </si>
  <si>
    <t>Dirección Local Hidalgo - Avenida 16 de Septiembre y Tecali S/N, Colonia Guadalupe Cuarta Sección, C.P. 43650, Tulancingo de Bravo Hidalgo.</t>
  </si>
  <si>
    <t>Avenida 16 de Septiembre y Tecali S/N, Colonia Guadalupe Cuarta Sección, C.P. 43650, Tulancingo de Bravo Hidalgo.</t>
  </si>
  <si>
    <t>Dirección Local Hidalgo - Calle Arboledas S/N, Esquina Cerrada La Paz, Colonia Zona Industrial, C.P. 42092, Pachuca de Soto Hidalgo.</t>
  </si>
  <si>
    <t>Calle Arboledas S/N, Esquina Cerrada La Paz, Colonia Zona Industrial, C.P. 42092, Pachuca de Soto Hidalgo.</t>
  </si>
  <si>
    <t>Dirección Local Hidalgo - Camino Real de la Plata No. 429, Lote 75, Manzana 2, Fraccionamiento Zona Plateada, C.P. 42084, Pachuca de Soto Hidalgo.</t>
  </si>
  <si>
    <t>Camino Real de la Plata No. 429, Lote 75, Manzana 2, Fraccionamiento Zona Plateada, C.P. 42084, Pachuca de Soto Hidalgo.</t>
  </si>
  <si>
    <t>Dirección Local Hidalgo - Carretera Huejutla-Chalahuiyapan Km 3.5, Col. Corral Blanco, C.P. 43000, Huejutla Hidalgo, Planta Baja.</t>
  </si>
  <si>
    <t>Carretera Huejutla-Chalahuiyapan Km 3.5, Col. Corral Blanco, C.P. 43000, Huejutla Hidalgo, Planta Baja.</t>
  </si>
  <si>
    <t>Dirección Local Hidalgo - Carretera Tulancingo-Cuautepec Km 7.5, Colonia Tepantitla, C.P. 43740, Cuautepec Hidalgo.</t>
  </si>
  <si>
    <t>Carretera Tulancingo-Cuautepec Km 7.5, Colonia Tepantitla, C.P. 43740, Cuautepec Hidalgo.</t>
  </si>
  <si>
    <t>Dirección Local Hidalgo - Felipe Ángeles No. 9, Colonia Centro, C.P. 42300, Ixmiquilpan Hidalgo, Planta Baja.</t>
  </si>
  <si>
    <t>Felipe Ángeles No. 9, Colonia Centro, C.P. 42300, Ixmiquilpan Hidalgo, Planta Baja.</t>
  </si>
  <si>
    <t>Dirección Local Hidalgo - Juárez y Reforma No. 1, Colonia Centro, C.P. 42700, Mixquiahuala Hidalgo.</t>
  </si>
  <si>
    <t>Juárez y Reforma No. 1, Colonia Centro, C.P. 42700, Mixquiahuala Hidalgo.</t>
  </si>
  <si>
    <t>Dirección Local Hidalgo - Leona Vicario No. 1, Colonia Centro, C.P. 42700, Mixquiahuala Hidalgo, Planta Baja.</t>
  </si>
  <si>
    <t>Leona Vicario No. 1, Colonia Centro, C.P. 42700, Mixquiahuala Hidalgo, Planta Baja.</t>
  </si>
  <si>
    <t>Dirección Local Hidalgo - Tlaloc No. 1, Colonia Centro, C.P. 43350, Metztitlán Hidalgo.</t>
  </si>
  <si>
    <t>Tlaloc No. 1, Colonia Centro, C.P. 43350, Metztitlán Hidalgo.</t>
  </si>
  <si>
    <t>Dirección Local Hidalgo - Valle de San Javier 727, Sección 1, Fraccionamiento Valle de San Javier, C.P. 42086, Pachuca de Soto, Hidalgo.</t>
  </si>
  <si>
    <t>Valle de San Javier 727, Sección 1, Fraccionamiento Valle de San Javier, C.P. 42086, Pachuca de Soto, Hidalgo.</t>
  </si>
  <si>
    <t>Dirección Local Michoacán - Av. Acueducto No. 3626, Col. Ejidal Ocolusen, C.P. 58279, Morelia, Michoacán.</t>
  </si>
  <si>
    <t>Av. Acueducto No. 3626, Col. Ejidal Ocolusen, C.P. 58279, Morelia, Michoacán.</t>
  </si>
  <si>
    <t>Dirección Local Michoacán - Av. Capitán Carlos Rovirosa, No. 1565, Col. Tierra y Libertad, C.P. 58148, Morelia, Michoacán.</t>
  </si>
  <si>
    <t>Av. Capitán Carlos Rovirosa, No. 1565, Col. Tierra y Libertad, C.P. 58148, Morelia, Michoacán.</t>
  </si>
  <si>
    <t>Dirección Local Michoacán - Av. Circunvalación Lázaro Cárdenas S/N, Col. Campamento Obrero, C.P. 60990, las Guacamayas, Michoacán.</t>
  </si>
  <si>
    <t>Las Guacamayas</t>
  </si>
  <si>
    <t>Av. Circunvalación Lázaro Cárdenas S/N, Col. Campamento Obrero, C.P. 60990, las Guacamayas, Michoacán.</t>
  </si>
  <si>
    <t>Dirección Local Michoacán - Av. Francisco I. Madero, Esq. Lázaro Cárdenas, S/N, Col. Morelos C.P. 60640 Apatzingán, Michoacán.</t>
  </si>
  <si>
    <t>Av. Francisco I. Madero, Esq. Lázaro Cárdenas, S/N, Col. Morelos C.P. 60640 Apatzingán, Michoacán.</t>
  </si>
  <si>
    <t>Dirección Local Michoacán - Calle Heber Soto Fierro No. 275 Col. Lomas de Santiaguito C.P. 58120 Morelia, Michoacán.</t>
  </si>
  <si>
    <t>Calle Heber Soto Fierro No. 275 Col. Lomas de Santiaguito C.P. 58120 Morelia, Michoacán.</t>
  </si>
  <si>
    <t>Dirección Local Michoacán - Calle Hidalgo Sur No. 126-A Col. la Regadera, C.P. 61160, Ciudad Hidalgo, Michoacán.</t>
  </si>
  <si>
    <t>Calle Hidalgo Sur No. 126-A Col. la Regadera, C.P. 61160, Ciudad Hidalgo, Michoacán.</t>
  </si>
  <si>
    <t>Dirección Local Michoacán - Calle Medino Rábago No. 3 Col. El Guamúchil Grande C.P. 59254 Yurécuaro, Michoacán.</t>
  </si>
  <si>
    <t>Calle Medino Rábago No. 3 Col. El Guamúchil Grande C.P. 59254 Yurécuaro, Michoacán.</t>
  </si>
  <si>
    <t>Dirección Local Michoacán - Calle Vasco de Quiroga No. 6, Col. Centro, C.P. 61250, Maravatío, Michoacán.</t>
  </si>
  <si>
    <t>Calle Vasco de Quiroga No. 6, Col. Centro, C.P. 61250, Maravatío, Michoacán.</t>
  </si>
  <si>
    <t>Dirección Local Michoacán - Calle Virrey de Mendoza No. 502 Fraccionamiento las Fuentes, Esquina Con Avenida del Árbol, C.P. 59690, Zamora, Michoacán.</t>
  </si>
  <si>
    <t>Calle Virrey de Mendoza No. 502 Fraccionamiento las Fuentes, Esquina Con Avenida del Árbol, C.P. 59690, Zamora, Michoacán.</t>
  </si>
  <si>
    <t>Dirección Local Michoacán - Km 1.5 Carretera Tepalcatepec Apatzingán, Col. Camelinas, C.P. 60540, Tepalcatepec, Michoacán.</t>
  </si>
  <si>
    <t>Km 1.5 Carretera Tepalcatepec Apatzingán, Col. Camelinas, C.P. 60540, Tepalcatepec, Michoacán.</t>
  </si>
  <si>
    <t>Dirección Local Nayarit - Avenida Insurgentes No. 1050, Oriente, Col. José María Menchaca, C.P. 63150, Tepic, Nayarit.</t>
  </si>
  <si>
    <t>Avenida Insurgentes No. 1050, Oriente, Col. José María Menchaca, C.P. 63150, Tepic, Nayarit.</t>
  </si>
  <si>
    <t>Dirección Local Nayarit - Domicilio Conocido, Campamento Sarh, San Juan de Abajo, C.P. 63730.</t>
  </si>
  <si>
    <t>Domicilio Conocido, Campamento Sarh, San Juan de Abajo, C.P. 63730.</t>
  </si>
  <si>
    <t>Dirección Local Nayarit - Ignacio Manuel Altamirano No. 347, Planta Baja, Ala Norte, Col. Magistral, C.P. 63040, Tepic, Nayarit.</t>
  </si>
  <si>
    <t>Ignacio Manuel Altamirano No. 347, Planta Baja, Ala Norte, Col. Magistral, C.P. 63040, Tepic, Nayarit.</t>
  </si>
  <si>
    <t>Dirección Local Nayarit - Río Colorado No. 130, Col. los Fresnos, Planta Baja, Ala Norte C.P. 63185, Tepic, Nayarit.</t>
  </si>
  <si>
    <t>Río Colorado No. 130, Col. los Fresnos, Planta Baja, Ala Norte C.P. 63185, Tepic, Nayarit.</t>
  </si>
  <si>
    <t>Dirección Local Puebla - 1 Oriente Sin Número, Palacio Federal, Col. Centro, C.P. 75700, Tehuacán, Pue. (18°27'42.78’’ N, 97°23'33.04’’ O) Planta Baja.</t>
  </si>
  <si>
    <t>1 Oriente Sin Número, Palacio Federal, Col. Centro, C.P. 75700, Tehuacán, Pue. (18°27'42.78’’ N, 97°23'33.04’’ O) Planta Baja.</t>
  </si>
  <si>
    <t>Dirección Local Puebla - Circuito Juan Pablo Ii No.505, Col Residencial Boulevares, C.P. 72440 Puebla, Puebla. (19°01'25.68'' N, 98°12'57.02'' O).</t>
  </si>
  <si>
    <t>Circuito Juan Pablo Ii No.505, Col Residencial Boulevares, C.P. 72440 Puebla, Puebla. (19°01'25.68'' N, 98°12'57.02'' O).</t>
  </si>
  <si>
    <t>Dirección Local Querétaro - Hacienda Santillán No. 119, Col. El Jacal, C.P. 76187, Querétaro, Querétaro.</t>
  </si>
  <si>
    <t>Hacienda Santillán No. 119, Col. El Jacal, C.P. 76187, Querétaro, Querétaro.</t>
  </si>
  <si>
    <t>Dirección Local Querétaro - Av. Colinas del Cimatario S/N, C.P. 76060, Colinas del Cimatario.</t>
  </si>
  <si>
    <t>Av. Colinas del Cimatario S/N, C.P. 76060, Colinas del Cimatario.</t>
  </si>
  <si>
    <t>Dirección Local Querétaro - Av. Hidalgo No. 36, Col. Centro, C.P. 76800, San Juan del Río, Querétaro.</t>
  </si>
  <si>
    <t>Av. Hidalgo No. 36, Col. Centro, C.P. 76800, San Juan del Río, Querétaro.</t>
  </si>
  <si>
    <t>Dirección Local Quintana Roo - Av. Santiago Pacheco Cruz S/N, Esquina Calle 54, Colonia Javier Rojo Gómez, C.P. 77259, Felipe Carrillo Puerto, Municipio Felipe Carrillo Puerto, Quintana Roo.</t>
  </si>
  <si>
    <t>Av. Santiago Pacheco Cruz S/N, Esquina Calle 54, Colonia Javier Rojo Gómez, C.P. 77259, Felipe Carrillo Puerto, Municipio Felipe Carrillo Puerto, Quintana Roo.</t>
  </si>
  <si>
    <t>Dirección Local Quintana Roo - Avenida Universidad No. 510, Esquina Benjamín Hill, Col. Nueva Reforma, C.P. 77018, Chetumal, Quintana Roo.</t>
  </si>
  <si>
    <t>Avenida Universidad No. 510, Esquina Benjamín Hill, Col. Nueva Reforma, C.P. 77018, Chetumal, Quintana Roo.</t>
  </si>
  <si>
    <t>Dirección Local Quintana Roo - Km 16.5 de la Carretera Cancún – Chetumal, C.P.77580, Cancún, Quintana Roo.</t>
  </si>
  <si>
    <t>Km 16.5 de la Carretera Cancún – Chetumal, C.P.77580, Cancún, Quintana Roo.</t>
  </si>
  <si>
    <t>Dirección Local San Luis Potosí - Calle Molinos No. 1000, Col. Casablanca, C.P. 79615, Ciudad Fernández, San Luis Potosí.</t>
  </si>
  <si>
    <t>Ciudad Fernández</t>
  </si>
  <si>
    <t>Calle Molinos No. 1000, Col. Casablanca, C.P. 79615, Ciudad Fernández, San Luis Potosí.</t>
  </si>
  <si>
    <t>Dirección Local San Luis Potosí - Carretera Valles-Tampico Km. 80, Col. Campamento Sarh, C.P. 79183, Ébano, San Luis Potosí.</t>
  </si>
  <si>
    <t>Carretera Valles-Tampico Km. 80, Col. Campamento Sarh, C.P. 79183, Ébano, San Luis Potosí.</t>
  </si>
  <si>
    <t>Dirección Local San Luis Potosí - Progreso No. 200, Col. Rotarios, C.P. 79080, Ciudad Valles, San Luis Potosí.</t>
  </si>
  <si>
    <t>Ciudad Valles</t>
  </si>
  <si>
    <t>Progreso No. 200, Col. Rotarios, C.P. 79080, Ciudad Valles, San Luis Potosí.</t>
  </si>
  <si>
    <t>Dirección Local Tlaxcala - Av. Leonarda Gómez Blanco S/N . Col Adolfo López Mateos, Tlaxcala, Tlaxcala. Planta Baja.</t>
  </si>
  <si>
    <t>Av. Leonarda Gómez Blanco S/N . Col Adolfo López Mateos, Tlaxcala, Tlaxcala. Planta Baja.</t>
  </si>
  <si>
    <t>Dirección Local Zacatecas - Avenida Secretaría de la Defensa Nacional No. 90, Zona Industrial, Guadalupe, Zacatecas, C.P. 98604.</t>
  </si>
  <si>
    <t>Avenida Secretaría de la Defensa Nacional No. 90, Zona Industrial, Guadalupe, Zacatecas, C.P. 98604.</t>
  </si>
  <si>
    <t>Dirección Local Zacatecas - C. Galeana No. 5, Col Centro, Rio Grande, Zacatecas, C.P. 98400. 2° Piso.</t>
  </si>
  <si>
    <t>C. Galeana No. 5, Col Centro, Rio Grande, Zacatecas, C.P. 98400. 2° Piso.</t>
  </si>
  <si>
    <t>Dirección Local Zacatecas - C. Palma S/N, Cerro de la Urbaneja, Sombrerete, Zacatecas, C.P. 99100.</t>
  </si>
  <si>
    <t>C. Palma S/N, Cerro de la Urbaneja, Sombrerete, Zacatecas, C.P. 99100.</t>
  </si>
  <si>
    <t>Dirección Local Zacatecas - Domicilio Cerro de la Bufa, Zacatecas, Zacatecas, C.P. 98600.</t>
  </si>
  <si>
    <t>Domicilio Cerro de la Bufa, Zacatecas, Zacatecas, C.P. 98600.</t>
  </si>
  <si>
    <t>Organismo de Cuenca Aguas del Valle de México - Autopista Peñón-Texcoco Km. 4.5, C.P. 56100, Texcoco, Estado de México.</t>
  </si>
  <si>
    <t>Autopista Peñón-Texcoco Km. 4.5, C.P. 56100, Texcoco, Estado de México.</t>
  </si>
  <si>
    <t>Organismo de Cuenca Aguas del Valle de México - Autopista Peñón-Texcoco Km. 4.5, C.P. 56530, Texcoco, Estado de México.</t>
  </si>
  <si>
    <t>Autopista Peñón-Texcoco Km. 4.5, C.P. 56530, Texcoco, Estado de México.</t>
  </si>
  <si>
    <t>Organismo de Cuenca Aguas del Valle de México - Autopista Peñón-Texcoco Km. 5.4, Zona Federal del Ex-Lago de Texcoco Estado de México.</t>
  </si>
  <si>
    <t>Autopista Peñón-Texcoco Km. 5.4, Zona Federal del Ex-Lago de Texcoco Estado de México.</t>
  </si>
  <si>
    <t>Organismo de Cuenca Aguas del Valle de México - Av. Acueducto S/N Colonia la Panorámica, C.P. 55036, San Cristóbal Ecatepec Estado de México.</t>
  </si>
  <si>
    <t>Av. Acueducto S/N Colonia la Panorámica, C.P. 55036, San Cristóbal Ecatepec Estado de México.</t>
  </si>
  <si>
    <t>Organismo de Cuenca Aguas del Valle de México - Avenida José Loreto Fabela 850, Colonia San Juan de Aragón, Alcaldía Gustavo A. Madero, C.P. 07950, CDMX.</t>
  </si>
  <si>
    <t>Avenida José Loreto Fabela 850, Colonia San Juan de Aragón, Alcaldía Gustavo A. Madero, C.P. 07950, CDMX.</t>
  </si>
  <si>
    <t>Organismo de Cuenca Aguas del Valle de México - Av. Río Churubusco No. 650, Colonia Carlos Zapata Vela, Alcaldía Iztacalco, C.P. 08040, CDMX.</t>
  </si>
  <si>
    <t>Av. Río Churubusco No. 650, Colonia Carlos Zapata Vela, Alcaldía Iztacalco, C.P. 08040, CDMX.</t>
  </si>
  <si>
    <t>Organismo de Cuenca Aguas del Valle de México - Calle 10 de Junio S/N, Antes Recursos Hidráulicos Esquina Av. Toluca, Colonia Poblado de Teyahualco, C.P. 54990, Tultepec Estado de México.</t>
  </si>
  <si>
    <t>Calle 10 de Junio S/N, Antes Recursos Hidráulicos Esquina Av. Toluca, Colonia Poblado de Teyahualco, C.P. 54990, Tultepec Estado de México.</t>
  </si>
  <si>
    <t>Organismo de Cuenca Aguas del Valle de México - Calzada Guadalupe Esquina Interceptor Poniente, Colonia El Cerrito, C.P. 54800, Cuautitlán, Estado de México.</t>
  </si>
  <si>
    <t>Calzada Guadalupe Esquina Interceptor Poniente, Colonia El Cerrito, C.P. 54800, Cuautitlán, Estado de México.</t>
  </si>
  <si>
    <t>Organismo de Cuenca Aguas del Valle de México - Carretera Ixtapan del Oro-Colorines S/N, Col. Ixtapan del Oro Centro, C.P. 51070, Estado de México.</t>
  </si>
  <si>
    <t>Carretera Ixtapan del Oro-Colorines S/N, Col. Ixtapan del Oro Centro, C.P. 51070, Estado de México.</t>
  </si>
  <si>
    <t>Organismo de Cuenca Aguas del Valle de México - Carretera Santa María Atarasquillo-San Nicolás Peralta S/N, Col. Agrícola Analco En San Nicolás Peralta, C.P. 52047, Lerma de Villada, Estado de México.</t>
  </si>
  <si>
    <t>Carretera Santa María Atarasquillo-San Nicolás Peralta S/N, Col. Agrícola Analco En San Nicolás Peralta, C.P. 52047, Lerma de Villada, Estado de México.</t>
  </si>
  <si>
    <t>Organismo de Cuenca Aguas del Valle de México - Carretera Toluca Zitácuaro Col. Gustavo Baz Tanque Santa Isabel Municipio de Villa Victoria Km. 108 Toluca, Estado de México.</t>
  </si>
  <si>
    <t>Carretera Toluca Zitácuaro Col. Gustavo Baz Tanque Santa Isabel Municipio de Villa Victoria Km. 108 Toluca, Estado de México.</t>
  </si>
  <si>
    <t>Organismo de Cuenca Aguas del Valle de México - Carretera Toluca-Valle de Bravo, Vía Monumento Km. 23.5, Col. El Arco, C.P. 51200, Valle de Bravo Estado de México.</t>
  </si>
  <si>
    <t>Carretera Toluca-Valle de Bravo, Vía Monumento Km. 23.5, Col. El Arco, C.P. 51200, Valle de Bravo Estado de México.</t>
  </si>
  <si>
    <t>Organismo de Cuenca Aguas del Valle de México - Carretera Villa Victoria - El Oro Km. 6.5, Col. la Presa, C.P. 50985, Estado de México.</t>
  </si>
  <si>
    <t>Carretera Villa Victoria - El Oro Km. 6.5, Col. la Presa, C.P. 50985, Estado de México.</t>
  </si>
  <si>
    <t>Organismo de Cuenca Aguas del Valle de México - Carretera Zitacuaro-Huetamo, Km.11, Ejido los Zapotes, C.P. 61539, Michoacán.</t>
  </si>
  <si>
    <t>Carretera Zitacuaro-Huetamo, Km.11, Ejido los Zapotes, C.P. 61539, Michoacán.</t>
  </si>
  <si>
    <t>Organismo de Cuenca Aguas del Valle de México - Emisor Poniente S/N Esquina Con Francisco Villa, Barrio Caltenco, C.P. 54660, Coyotepec Estado de México.</t>
  </si>
  <si>
    <t>Emisor Poniente S/N Esquina Con Francisco Villa, Barrio Caltenco, C.P. 54660, Coyotepec Estado de México.</t>
  </si>
  <si>
    <t>Organismo de Cuenca Aguas del Valle de México - Km 22.5 Carretera México-Puebla Esquina Camino Al Tiradero de Santa Catalina, Col. Loma Encantada, C.P. 50900, La Paz, Estado de México.</t>
  </si>
  <si>
    <t>Km 22.5 Carretera México-Puebla Esquina Camino Al Tiradero de Santa Catalina, Col. Loma Encantada, C.P. 50900, La Paz, Estado de México.</t>
  </si>
  <si>
    <t>Organismo de Cuenca Aguas del Valle de México - Km. 54.5 Carretera Toluca-Valle de Bravo, C.P. 51000, los Berros Villa de Allende Estado de México.</t>
  </si>
  <si>
    <t>Km. 54.5 Carretera Toluca-Valle de Bravo, C.P. 51000, los Berros Villa de Allende Estado de México.</t>
  </si>
  <si>
    <t>Organismo de Cuenca Aguas del Valle de México - Km. 7.5 Autopista Peñón-Texcoco, C.P. 56100, Texcoco, Estado de México.</t>
  </si>
  <si>
    <t>Km. 7.5 Autopista Peñón-Texcoco, C.P. 56100, Texcoco, Estado de México.</t>
  </si>
  <si>
    <t>Organismo de Cuenca Aguas del Valle de México - Paseo de Sicilia No. 225, Fraccionamiento Lomas Estrella Segunda Sección, Alcaldía Iztapalapa, C.P. 09890, CDMX.</t>
  </si>
  <si>
    <t>Paseo de Sicilia No. 225, Fraccionamiento Lomas Estrella Segunda Sección, Alcaldía Iztapalapa, C.P. 09890, CDMX.</t>
  </si>
  <si>
    <t>Organismo de Cuenca Balsas - Av. Universidad No.5 Col. Santa María Ahuacatitlan C.P. 62000 Cuernavaca, Morelos.</t>
  </si>
  <si>
    <t>Av. Universidad No.5 Col. Santa María Ahuacatitlan C.P. 62000 Cuernavaca, Morelos.</t>
  </si>
  <si>
    <t>Organismo de Cuenca Balsas - Nueva Bélgica Esq. Pedro de Alvarado S/N Col. Reforma Norte C.P. 62260 Cuernavaca, Morelos.</t>
  </si>
  <si>
    <t>Nueva Bélgica Esq. Pedro de Alvarado S/N Col. Reforma Norte C.P. 62260 Cuernavaca, Morelos.</t>
  </si>
  <si>
    <t>Organismo de Cuenca Balsas - Reforma S/N Agencia la Estancia C.P. 69000 Huajuapan de León Oaxaca.</t>
  </si>
  <si>
    <t>Reforma S/N Agencia la Estancia C.P. 69000 Huajuapan de León Oaxaca.</t>
  </si>
  <si>
    <t>Organismo de Cuenca Frontera Sur - 2A Calle Sur Esquina Con 9A. Avenida Oriente S/N. Colonia Arriaga Centro, C.P. 30454, Arriaga, Chiapas.</t>
  </si>
  <si>
    <t>2A Calle Sur Esquina Con 9A. Avenida Oriente S/N. Colonia Arriaga Centro, C.P. 30454, Arriaga, Chiapas.</t>
  </si>
  <si>
    <t>Organismo de Cuenca Frontera Sur - 7A Sur Poniente S/N, Colonia Miguel Alemán Valdés (Atrás de la Eti No. 011056), C.P. 30090, Comitán de Domínguez, Chiapas.</t>
  </si>
  <si>
    <t>7A Sur Poniente S/N, Colonia Miguel Alemán Valdés (Atrás de la Eti No. 011056), C.P. 30090, Comitán de Domínguez, Chiapas.</t>
  </si>
  <si>
    <t>Organismo de Cuenca Frontera Sur - Av. Central Norte Numero 20, Ciudad Hidalgo, C.P. 30780, Entre 5A y 7A Poniente Colonia Centro.</t>
  </si>
  <si>
    <t>Av. Central Norte Numero 20, Ciudad Hidalgo, C.P. 30780, Entre 5A y 7A Poniente Colonia Centro.</t>
  </si>
  <si>
    <t>Organismo de Cuenca Frontera Sur - Av. Insurgentes No. 119-A, C.P. 29270, Col. María Auxiliadora (Aun Costado del Antiguo Aeropuerto), San Cristóbal de las Casas, Chiapas.</t>
  </si>
  <si>
    <t>Av. Insurgentes No. 119-A, C.P. 29270, Col. María Auxiliadora (Aun Costado del Antiguo Aeropuerto), San Cristóbal de las Casas, Chiapas.</t>
  </si>
  <si>
    <t>Organismo de Cuenca Frontera Sur - Carretera Al Antiguo Aeropuerto Km. 2.5 S/N, C.P. 30789, Tapachula, Chiapas.</t>
  </si>
  <si>
    <t>Carretera Al Antiguo Aeropuerto Km. 2.5 S/N, C.P. 30789, Tapachula, Chiapas.</t>
  </si>
  <si>
    <t>Organismo de Cuenca Frontera Sur - Carretera Al Antiguo Aeropuerto S/N, C.P. 30799 (Frente a Tacsa). Tapachula, Chiapas.</t>
  </si>
  <si>
    <t>Carretera Al Antiguo Aeropuerto S/N, C.P. 30799 (Frente a Tacsa). Tapachula, Chiapas.</t>
  </si>
  <si>
    <t>Organismo de Cuenca Frontera Sur - Carretera Tuxtla Chicoasén Km 1.5, S/N., los Laguitos, C.P. 29020, Tuxtla Gutiérrez, Chiapas.</t>
  </si>
  <si>
    <t>Carretera Tuxtla Chicoasén Km 1.5, S/N., los Laguitos, C.P. 29020, Tuxtla Gutiérrez, Chiapas.</t>
  </si>
  <si>
    <t>Organismo de Cuenca Frontera Sur - Cuarta Calle Norte Poniente Sin Número, Col. San José Yocnajab, Ciudad de Comitán de Domínguez, Chiapas. C.P. 30109.</t>
  </si>
  <si>
    <t>Cuarta Calle Norte Poniente Sin Número, Col. San José Yocnajab, Ciudad de Comitán de Domínguez, Chiapas. C.P. 30109.</t>
  </si>
  <si>
    <t>Organismo de Cuenca Frontera Sur - Domicilio Conocido Cna, (Al Lado del Panteón), Col. Soyatitán, Chiapas, C.P. 30200, Venustiano Carranza, Chiapas.</t>
  </si>
  <si>
    <t>Domicilio Conocido Cna, (Al Lado del Panteón), Col. Soyatitán, Chiapas, C.P. 30200, Venustiano Carranza, Chiapas.</t>
  </si>
  <si>
    <t>Organismo de Cuenca Frontera Sur - Domicilio Conocido, Campamento Cna, Col. Independencia, C.P. 30362, la Concordia, Chiapas.</t>
  </si>
  <si>
    <t>Domicilio Conocido, Campamento Cna, Col. Independencia, C.P. 30362, la Concordia, Chiapas.</t>
  </si>
  <si>
    <t>Organismo de Cuenca Frontera Sur - Km 3.5 Carretera a Escuintla S/N, C.P. 30580, Acapetahua, Chiapas.</t>
  </si>
  <si>
    <t>Km 3.5 Carretera a Escuintla S/N, C.P. 30580, Acapetahua, Chiapas.</t>
  </si>
  <si>
    <t>Organismo de Cuenca Golfo Centro - A. Ejercito Mexicano Número S/N Colonia Ylang-Ylang, C.P. 94298, Boca del Río, Veracruz.</t>
  </si>
  <si>
    <t>A. Ejercito Mexicano Número S/N Colonia Ylang-Ylang, C.P. 94298, Boca del Río, Veracruz.</t>
  </si>
  <si>
    <t>Organismo de Cuenca Golfo Centro - Av. Ejercito Mexicano S/N Colonia Ylang-Ylang, C.P. 94298, Boca del Río, Veracruz.</t>
  </si>
  <si>
    <t>Av. Ejercito Mexicano S/N Colonia Ylang-Ylang, C.P. 94298, Boca del Río, Veracruz.</t>
  </si>
  <si>
    <t>Organismo de Cuenca Golfo Centro - Boulevard Complejo Morelos Km 0+860 (Cruce Con Arrollo Teapa) Col. Complejo Petroquímico Pajaritos, C.P. 96384, Coatzacoalcos, Veracruz.</t>
  </si>
  <si>
    <t>Boulevard Complejo Morelos Km 0+860 (Cruce Con Arrollo Teapa) Col. Complejo Petroquímico Pajaritos, C.P. 96384, Coatzacoalcos, Veracruz.</t>
  </si>
  <si>
    <t>Organismo de Cuenca Golfo Centro - Calle Juárez S/N, Esquina Guerrero Col. Centro, C.P. 95200 Joachin, Veracruz.</t>
  </si>
  <si>
    <t>Calle Juárez S/N, Esquina Guerrero Col. Centro, C.P. 95200 Joachin, Veracruz.</t>
  </si>
  <si>
    <t>Organismo de Cuenca Golfo Centro - Carretera a Canticas Km. 9, Col. las Gaviotas, C.P. 96536, Coatzacoalcos, Veracruz.</t>
  </si>
  <si>
    <t>Carretera a Canticas Km. 9, Col. las Gaviotas, C.P. 96536, Coatzacoalcos, Veracruz.</t>
  </si>
  <si>
    <t>Organismo de Cuenca Golfo Centro - Carretera Xalapa - Veracruz Kilómetro 3.5, Número 471, Colonia Olmos de las Animas, C.P. 91193, Xalapa, Veracruz.</t>
  </si>
  <si>
    <t>Carretera Xalapa - Veracruz Kilómetro 3.5, Número 471, Colonia Olmos de las Animas, C.P. 91193, Xalapa, Veracruz.</t>
  </si>
  <si>
    <t>Organismo de Cuenca Golfo Centro - Domicilio Conocido (A 3 Kilómetros del Entronque Con la Carretera Antigua a las Choapas). Ejido Tlacuilolapa, Municipio de Moloacan, Veracruz.</t>
  </si>
  <si>
    <t>Domicilio Conocido (A 3 Kilómetros del Entronque Con la Carretera Antigua a las Choapas). Ejido Tlacuilolapa, Municipio de Moloacan, Veracruz.</t>
  </si>
  <si>
    <t>Organismo de Cuenca Golfo Centro - Domicilio Conocido (A Dos Km. del Canal de Llamada de Pb-1), Ejido Ceiba Blanca Municipio de las Choapas, Veracruz.</t>
  </si>
  <si>
    <t>Municipio de las Choapas</t>
  </si>
  <si>
    <t>Domicilio Conocido (A Dos Km. del Canal de Llamada de Pb-1), Ejido Ceiba Blanca Municipio de las Choapas, Veracruz.</t>
  </si>
  <si>
    <t>Organismo de Cuenca Golfo Centro - Domicilio Conocido, Carretera Federal Núm. 175, Conduce a la Ciudad de Tuxtepec Ejido Cerro de Oro C.P. 68470, San Lucas Ojitlán Oaxaca.</t>
  </si>
  <si>
    <t>Domicilio Conocido, Carretera Federal Núm. 175, Conduce a la Ciudad de Tuxtepec Ejido Cerro de Oro C.P. 68470, San Lucas Ojitlán Oaxaca.</t>
  </si>
  <si>
    <t>Organismo de Cuenca Golfo Centro - Domicilio Conocido, Presa la Uspanapa - Cangrejera, Ejido Gavilán Sur S/N, C.P. 96400, Coatzacoalcos, Veracruz.</t>
  </si>
  <si>
    <t>Domicilio Conocido, Presa la Uspanapa - Cangrejera, Ejido Gavilán Sur S/N, C.P. 96400, Coatzacoalcos, Veracruz.</t>
  </si>
  <si>
    <t>Organismo de Cuenca Golfo Centro - Domicilio Conocido, Privada Galeana S/N, Col. Azteca, C.P. 92820, Tuxpan Veracruz.</t>
  </si>
  <si>
    <t>Domicilio Conocido, Privada Galeana S/N, Col. Azteca, C.P. 92820, Tuxpan Veracruz.</t>
  </si>
  <si>
    <t>Miguel Alemán</t>
  </si>
  <si>
    <t>Organismo de Cuenca Golfo Norte - 5 de Mayo No. 603 Oriente Zona Centro, C.P.67700, Linares, Nuevo León,.</t>
  </si>
  <si>
    <t>5 de Mayo No. 603 Oriente Zona Centro, C.P.67700, Linares, Nuevo León,.</t>
  </si>
  <si>
    <t>Organismo de Cuenca Golfo Norte - Brecha Este 123, Esquina Con Brecha Sur 40, Col. Agrícola Francisco González Villareal C.P. 87618, San Fernando Tamaulipas.</t>
  </si>
  <si>
    <t>Brecha Este 123, Esquina Con Brecha Sur 40, Col. Agrícola Francisco González Villareal C.P. 87618, San Fernando Tamaulipas.</t>
  </si>
  <si>
    <t>Organismo de Cuenca Golfo Norte - Calle Felipe de la Garza No. 204. Col. Centro, C.P. 89000, Ciudad Soto la Marina, Tamaulipas.</t>
  </si>
  <si>
    <t>Soto la Marina</t>
  </si>
  <si>
    <t>Calle Felipe de la Garza No. 204. Col. Centro, C.P. 89000, Ciudad Soto la Marina, Tamaulipas.</t>
  </si>
  <si>
    <t>Organismo de Cuenca Golfo Norte - Calle Manuel González Norte No. 205, Zona Centro, C.P. 89800, El Mante, Tamaulipas.</t>
  </si>
  <si>
    <t>Calle Manuel González Norte No. 205, Zona Centro, C.P. 89800, El Mante, Tamaulipas.</t>
  </si>
  <si>
    <t>Organismo de Cuenca Golfo Norte - Calle Morelos S/N Entre Francisco I. Madero y Manuel A. Ravize Zona Centro C.P. 87760, Abasolo, Tamaulipas.</t>
  </si>
  <si>
    <t>Calle Morelos S/N Entre Francisco I. Madero y Manuel A. Ravize Zona Centro C.P. 87760, Abasolo, Tamaulipas.</t>
  </si>
  <si>
    <t>Organismo de Cuenca Golfo Norte - Carretera Tampico Mante Km. 21.4, Zona Centro, C.P. 89600, Altamira, Tamaulipas.</t>
  </si>
  <si>
    <t>Carretera Tampico Mante Km. 21.4, Zona Centro, C.P. 89600, Altamira, Tamaulipas.</t>
  </si>
  <si>
    <t>Organismo de Cuenca Golfo Norte - Zaragoza Norte No. 212, Col. Ampliación, Unidad Nacional, C.P. 89510, Madero, Tamaulipas.</t>
  </si>
  <si>
    <t>Zaragoza Norte No. 212, Col. Ampliación, Unidad Nacional, C.P. 89510, Madero, Tamaulipas.</t>
  </si>
  <si>
    <t>Organismo de Cuenca Lerma Santiago Pacífico - José Ma. Calvillo No 7, Col. del Cerrito, C.P. 46200, Colotlán, Jalisco.</t>
  </si>
  <si>
    <t>José Ma. Calvillo No 7, Col. del Cerrito, C.P. 46200, Colotlán, Jalisco.</t>
  </si>
  <si>
    <t>Organismo de Cuenca Lerma Santiago Pacífico - Juan Pablo Anaya No. 364, Colonia Alcaldes, C.P. 47400, Lagos de Moreno, Jalisco.</t>
  </si>
  <si>
    <t>Juan Pablo Anaya No. 364, Colonia Alcaldes, C.P. 47400, Lagos de Moreno, Jalisco.</t>
  </si>
  <si>
    <t>Organismo de Cuenca Lerma Santiago Pacífico - Km 127, Carretera Barra de Navidad - Pto. Vallarta, Campamento Sagarpa, C.P. 48450, Tomatlán, Jalisco.</t>
  </si>
  <si>
    <t>Km 127, Carretera Barra de Navidad - Pto. Vallarta, Campamento Sagarpa, C.P. 48450, Tomatlán, Jalisco.</t>
  </si>
  <si>
    <t>Blvd. Paseo de la Cultura y Comonfort Edificio México, 3Er Piso, Col. Villa de Seris C.P. 83280, Hermosillo, Sonora.</t>
  </si>
  <si>
    <t>Organismo de Cuenca Noroeste - California No. 54 Col. la Matanza, C.P. 83080, Hermosillo, Sonora.</t>
  </si>
  <si>
    <t>California No. 54 Col. la Matanza, C.P. 83080, Hermosillo, Sonora.</t>
  </si>
  <si>
    <t>Organismo de Cuenca Noroeste - Calle Granados S/N, Entre Morelos y Canal Principal Bajo, Col. Morelos, . C.P. 85000, Ciudad Obregón, Sonora.</t>
  </si>
  <si>
    <t>Ciudad Obregón</t>
  </si>
  <si>
    <t>Calle Granados S/N, Entre Morelos y Canal Principal Bajo, Col. Morelos, . C.P. 85000, Ciudad Obregón, Sonora.</t>
  </si>
  <si>
    <t>Organismo de Cuenca Noroeste - Hidalgo y Sinaloa No. 827, Col. Centro, C.P. 85000 , Ciudad Obregón, Sonora.</t>
  </si>
  <si>
    <t>Hidalgo y Sinaloa No. 827, Col. Centro, C.P. 85000 , Ciudad Obregón, Sonora.</t>
  </si>
  <si>
    <t>Organismo de Cuenca Pacífico Norte - Av. México S/N, Col. Centro, Eldorado, C.P. 80450, Culiacán, Sinaloa.</t>
  </si>
  <si>
    <t>Av. México S/N, Col. Centro, Eldorado, C.P. 80450, Culiacán, Sinaloa.</t>
  </si>
  <si>
    <t>Organismo de Cuenca Pacífico Norte - Belisario Domínguez Esq. Con Ixtlán, S/N, Col. Benito Juárez, C.P. 81215, los Mochis, Sinaloa.</t>
  </si>
  <si>
    <t>Belisario Domínguez Esq. Con Ixtlán, S/N, Col. Benito Juárez, C.P. 81215, los Mochis, Sinaloa.</t>
  </si>
  <si>
    <t>Organismo de Cuenca Pacífico Norte - Calle 5 de Mayo S/N, Col. Centro, C.P. 81600, Angostura, Sinaloa.</t>
  </si>
  <si>
    <t>Calle 5 de Mayo S/N, Col. Centro, C.P. 81600, Angostura, Sinaloa.</t>
  </si>
  <si>
    <t>Carretera a El Dorado, Km. 19.5, Junto a la Escuela de Agricultura, Culiacán, Sinaloa.</t>
  </si>
  <si>
    <t>Organismo de Cuenca Pacífico Norte - Cayetano Valadez y Papagayo S/N, Col. Juan Carrasco, C.P. 82010, Mazatlán, Sinaloa.</t>
  </si>
  <si>
    <t>Cayetano Valadez y Papagayo S/N, Col. Juan Carrasco, C.P. 82010, Mazatlán, Sinaloa.</t>
  </si>
  <si>
    <t>Organismo de Cuenca Pacífico Norte - Constitución No. 330 Pte., Villa Unión, C.P. 82200, Mazatlán, Sinaloa.</t>
  </si>
  <si>
    <t>Constitución No. 330 Pte., Villa Unión, C.P. 82200, Mazatlán, Sinaloa.</t>
  </si>
  <si>
    <t>Organismo de Cuenca Pacífico Norte - Guillermo Prieto y Marcial Ordoñez S/N, Col. Centro, C.P. 81200, los Mochis, Sinaloa.</t>
  </si>
  <si>
    <t>Guillermo Prieto y Marcial Ordoñez S/N, Col. Centro, C.P. 81200, los Mochis, Sinaloa.</t>
  </si>
  <si>
    <t>Organismo de Cuenca Pacífico Norte - Hernando de Villafañe y Benigno Valenzuela S/N, Col. Centro, C.P. 81000, Guasave, Sinaloa.</t>
  </si>
  <si>
    <t>Hernando de Villafañe y Benigno Valenzuela S/N, Col. Centro, C.P. 81000, Guasave, Sinaloa.</t>
  </si>
  <si>
    <t>Organismo de Cuenca Pacífico Norte - Km 16.5 Carretera a la Cruz, Col. Arroyitos, C.P. 82700, la Cruz, Sinaloa.</t>
  </si>
  <si>
    <t>Km 16.5 Carretera a la Cruz, Col. Arroyitos, C.P. 82700, la Cruz, Sinaloa.</t>
  </si>
  <si>
    <t>Organismo de Cuenca Pacífico Norte - Rio San Lorenzo No. 6, Villa Gustavo Díaz Ordaz (Carrizo), Col. Centro, C.P. 81320, Ahome, Sinaloa.</t>
  </si>
  <si>
    <t>Rio San Lorenzo No. 6, Villa Gustavo Díaz Ordaz (Carrizo), Col. Centro, C.P. 81320, Ahome, Sinaloa.</t>
  </si>
  <si>
    <t>Organismo de Cuenca Pacífico Sur - Andador 11 Casa 5 Manzana "M" 4A Etapa INFONAVIT 10 de Mayo, C.P. 68050, Oaxaca, Oaxaca.</t>
  </si>
  <si>
    <t>Andador 11 Casa 5 Manzana "M" 4A Etapa INFONAVIT 10 de Mayo, C.P. 68050, Oaxaca, Oaxaca.</t>
  </si>
  <si>
    <t>Organismo de Cuenca Pacífico Sur - Aquiles Serdán S/N, Col. Moderna, C.P. 70110, Ciudad Ixtepec, Oaxaca.</t>
  </si>
  <si>
    <t>Aquiles Serdán S/N, Col. Moderna, C.P. 70110, Ciudad Ixtepec, Oaxaca.</t>
  </si>
  <si>
    <t>Organismo de Cuenca Pacífico Sur - Calle Heliodoro Díaz Quintas, S/N, C.P. 71803, Col. Lindavista, San José del Progreso, Tututepec, Oaxaca.</t>
  </si>
  <si>
    <t>Calle Heliodoro Díaz Quintas, S/N, C.P. 71803, Col. Lindavista, San José del Progreso, Tututepec, Oaxaca.</t>
  </si>
  <si>
    <t>Organismo de Cuenca Pacífico Sur - Camino a la Cortina de la Presa Benito Juárez, C.P. 70710, Santa María Jalapa del Marques, Oaxaca.</t>
  </si>
  <si>
    <t>Camino a la Cortina de la Presa Benito Juárez, C.P. 70710, Santa María Jalapa del Marques, Oaxaca.</t>
  </si>
  <si>
    <t>Organismo de Cuenca Pacífico Sur - Carretera Panamericana Km. 797, Barrio Vixhana, C.P. 70760, Santo Domingo Tehuantepec, Oaxaca.</t>
  </si>
  <si>
    <t>Carretera Panamericana Km. 797, Barrio Vixhana, C.P. 70760, Santo Domingo Tehuantepec, Oaxaca.</t>
  </si>
  <si>
    <t>Organismo de Cuenca Pacífico Sur - Carretera Puerto Ángel - Zipolite Km. 0.5, C.P. 70902, Puerto Ángel, Oaxaca.</t>
  </si>
  <si>
    <t>Carretera Puerto Ángel - Zipolite Km. 0.5, C.P. 70902, Puerto Ángel, Oaxaca.</t>
  </si>
  <si>
    <t>Organismo de Cuenca Pacífico Sur - Conocido Cerro de la Cruz, C.P. 70902, Puerto Ángel, Oaxaca.</t>
  </si>
  <si>
    <t>Conocido Cerro de la Cruz, C.P. 70902, Puerto Ángel, Oaxaca.</t>
  </si>
  <si>
    <t>Organismo de Cuenca Pacífico Sur - Emilio Carranza No. 201, Col. Reforma, C.P. 68050, Oaxaca, Oaxaca.</t>
  </si>
  <si>
    <t>Emilio Carranza No. 201, Col. Reforma, C.P. 68050, Oaxaca, Oaxaca.</t>
  </si>
  <si>
    <t>Organismo de Cuenca Pacífico Sur - Interior del Aeropuerto Federal Benito Juárez S/N, C.P. 68130, San Juan Bautista la Raya, Oaxaca.</t>
  </si>
  <si>
    <t>Interior del Aeropuerto Federal Benito Juárez S/N, C.P. 68130, San Juan Bautista la Raya, Oaxaca.</t>
  </si>
  <si>
    <t>Organismo de Cuenca Pacífico Sur - Privada del Rocío S/N, Col. Lomas del Crestón, C.P. 68048, Oaxaca de Juárez, Oaxaca.</t>
  </si>
  <si>
    <t>Privada del Rocío S/N, Col. Lomas del Crestón, C.P. 68048, Oaxaca de Juárez, Oaxaca.</t>
  </si>
  <si>
    <t>Organismo de Cuenca Pacífico Sur - Salinas del Márquez S/N, C.P. 70704, Salina Cruz, Oaxaca.</t>
  </si>
  <si>
    <t>Salinas del Márquez S/N, C.P. 70704, Salina Cruz, Oaxaca.</t>
  </si>
  <si>
    <t>Organismo de Cuenca Península de Baja California - Av. Reforma y Calle L S/N, Col. Nueva , Mexicali Baja California. C.P. 21100.</t>
  </si>
  <si>
    <t>Av. Reforma y Calle L S/N, Col. Nueva , Mexicali Baja California. C.P. 21100.</t>
  </si>
  <si>
    <t>Organismo de Cuenca Península de Baja California - Boulevard Delta S/N Campamento de la Sarh Ejido Nuevo León C.P. 21705.</t>
  </si>
  <si>
    <t>Boulevard Delta S/N Campamento de la Sarh Ejido Nuevo León C.P. 21705.</t>
  </si>
  <si>
    <t>Organismo de Cuenca Península de Baja California - Calle 12 Sn, Guadalupe Victoria Mexicali, Baja California. C.P. 21720.</t>
  </si>
  <si>
    <t>Calle 12 Sn, Guadalupe Victoria Mexicali, Baja California. C.P. 21720.</t>
  </si>
  <si>
    <t>Organismo de Cuenca Península de Baja California - Calle Ignacio Allende S/N, Colonia Popular 2 del Ejido Adolfo Ruiz Cortines, C.P. 22810, Ensenada, Baja California.</t>
  </si>
  <si>
    <t>Calle Ignacio Allende S/N, Colonia Popular 2 del Ejido Adolfo Ruiz Cortines, C.P. 22810, Ensenada, Baja California.</t>
  </si>
  <si>
    <t>Organismo de Cuenca Península de Baja California - Carretera Tijuana-Tecate, Delegación Valle de las Palmas , Tecate Baja California. C.P. 21500.</t>
  </si>
  <si>
    <t>Carretera Tijuana-Tecate, Delegación Valle de las Palmas , Tecate Baja California. C.P. 21500.</t>
  </si>
  <si>
    <t>Organismo de Cuenca Península de Baja California - Domicilio Conocido Km 13+800 del Canal Alimentador Central C.P. 21980.</t>
  </si>
  <si>
    <t>Domicilio Conocido Km 13+800 del Canal Alimentador Central C.P. 21980.</t>
  </si>
  <si>
    <t>Organismo de Cuenca Península de Baja California - Domicilio Conocido Km 8+000 del Canal Alimentador Central C.P. 21980.</t>
  </si>
  <si>
    <t>Domicilio Conocido Km 8+000 del Canal Alimentador Central C.P. 21980.</t>
  </si>
  <si>
    <t>Organismo de Cuenca Península de Baja California - Km 55 Carretera a San Luis Rio Colorado, Col Miguel Alemán , C.P. 21930.</t>
  </si>
  <si>
    <t>Km 55 Carretera a San Luis Rio Colorado, Col Miguel Alemán , C.P. 21930.</t>
  </si>
  <si>
    <t>Organismo de Cuenca Península de Yucatán - Calle 59-B No. 238 y Av. Zamná, Fraccionamiento Yucalpetén, C.P. 97238, Mérida, Yucatán.</t>
  </si>
  <si>
    <t>Calle 59-B No. 238 y Av. Zamná, Fraccionamiento Yucalpetén, C.P. 97238, Mérida, Yucatán.</t>
  </si>
  <si>
    <t>Organismo de Cuenca Península de Yucatán - Carretera Mérida-Chetumal Km. 110, Oxkutzcab, Yucatán, C.P. 97880.</t>
  </si>
  <si>
    <t>Carretera Mérida-Chetumal Km. 110, Oxkutzcab, Yucatán, C.P. 97880.</t>
  </si>
  <si>
    <t>Organismo de Cuenca Río Bravo - Av. Constitución Ote. 4103, Col. Fierro, Monterrey, Nuevo León., C.P. 64590.</t>
  </si>
  <si>
    <t>Av. Constitución Ote. 4103, Col. Fierro, Monterrey, Nuevo León., C.P. 64590.</t>
  </si>
  <si>
    <t>Organismo de Cuenca Río Bravo - Calle América S/N, Col. Centro, Ciudad Valle Hermoso, Tamaulipas. C.P. 87500.</t>
  </si>
  <si>
    <t>Valle Hermoso</t>
  </si>
  <si>
    <t>Calle América S/N, Col. Centro, Ciudad Valle Hermoso, Tamaulipas. C.P. 87500.</t>
  </si>
  <si>
    <t>Organismo de Cuenca Río Bravo - Calle Capitán Leal 510, Col. Benito Juárez, Ciudad Acuña, Coahuila. C.P. 26215.</t>
  </si>
  <si>
    <t>Calle Capitán Leal 510, Col. Benito Juárez, Ciudad Acuña, Coahuila. C.P. 26215.</t>
  </si>
  <si>
    <t>Organismo de Cuenca Río Bravo - Calle Juárez 301 Izq., Col. Centro, Ciudad Anáhuac, Nuevo León, C.P. 65030.</t>
  </si>
  <si>
    <t>Anáhuac</t>
  </si>
  <si>
    <t>Calle Juárez 301 Izq., Col. Centro, Ciudad Anáhuac, Nuevo León, C.P. 65030.</t>
  </si>
  <si>
    <t>Organismo de Cuenca Río Bravo - Calle V. Carranza 106, Col. Centro, Ciudad Gustavo Díaz Ordaz, Tamaulipas., C.P. 88400.</t>
  </si>
  <si>
    <t>Ciudad Gustavo Díaz Ordaz</t>
  </si>
  <si>
    <t>Calle V. Carranza 106, Col. Centro, Ciudad Gustavo Díaz Ordaz, Tamaulipas., C.P. 88400.</t>
  </si>
  <si>
    <t>Organismo de Cuenca Río Bravo - Carr. Anáhuac-Sabinas Km 90, Ciudad Juárez, Coahuila, C.P. 25410.</t>
  </si>
  <si>
    <t>Carr. Anáhuac-Sabinas Km 90, Ciudad Juárez, Coahuila, C.P. 25410.</t>
  </si>
  <si>
    <t>Organismo de Cuenca Río Bravo - Carr. los Cavazos-Cadereyta Km 7, Santiago, Nuevo León., C.P. 67317.</t>
  </si>
  <si>
    <t>Carr. los Cavazos-Cadereyta Km 7, Santiago, Nuevo León., C.P. 67317.</t>
  </si>
  <si>
    <t>Organismo de Cuenca Río Bravo - Carr. Matamoros-Mazatlán Km. 79, Brecha E-102, Ejido El Guerreño, Ciudad Reynosa, Tamaulipas. C.P. 88780.</t>
  </si>
  <si>
    <t>Reynosa</t>
  </si>
  <si>
    <t>Carr. Matamoros-Mazatlán Km. 79, Brecha E-102, Ejido El Guerreño, Ciudad Reynosa, Tamaulipas. C.P. 88780.</t>
  </si>
  <si>
    <t>Organismo de Cuenca Río Bravo - Carr. Monterrey- Reynosa Km 110, Ejido El Cuchillo, China, Nuevo León. C.P. 67050.</t>
  </si>
  <si>
    <t>Carr. Monterrey- Reynosa Km 110, Ejido El Cuchillo, China, Nuevo León. C.P. 67050.</t>
  </si>
  <si>
    <t>Organismo de Cuenca Río Bravo - Congregación Comales, Ciudad Camargo, Tamaulipas., C.P. 88470.</t>
  </si>
  <si>
    <t>Ciudad Camargo</t>
  </si>
  <si>
    <t>Congregación Comales, Ciudad Camargo, Tamaulipas., C.P. 88470.</t>
  </si>
  <si>
    <t>Organismo de Cuenca Río Bravo - Ejido, Cerro Prieto, Linares Nuevo León. C.P. 67817.</t>
  </si>
  <si>
    <t>Ejido, Cerro Prieto, Linares Nuevo León. C.P. 67817.</t>
  </si>
  <si>
    <t>Organismo de Cuenca Río Bravo - Paseo Colón S/N, Col. Centro, Ciudad Río Bravo, Tamaulipas., C.P. 88900.</t>
  </si>
  <si>
    <t>Ciudad Río Bravo</t>
  </si>
  <si>
    <t>Paseo Colón S/N, Col. Centro, Ciudad Río Bravo, Tamaulipas., C.P. 88900.</t>
  </si>
  <si>
    <t>Organismo de Cuenca Río Bravo - Prolong. Juárez S/N, Poblado Control, Ciudad Heroica Matamoros, Tamaulipas, C.P. 87555.</t>
  </si>
  <si>
    <t>Heroica Matamoros</t>
  </si>
  <si>
    <t>Prolong. Juárez S/N, Poblado Control, Ciudad Heroica Matamoros, Tamaulipas, C.P. 87555.</t>
  </si>
  <si>
    <t>Seleccionar una opción.</t>
  </si>
  <si>
    <t>Baja de la cuenta por defunción.</t>
  </si>
  <si>
    <t>Se requiere la baja de la cuenta en Directorio Activo y Exchange, por defunción del usuario.</t>
  </si>
  <si>
    <t>11. La persona usuaria de forma periódica (semestral, mensual, quincenal) deberá realizar copias de seguridad de la información crítica que almacene en su equipo.
12. La persona usuaria debe hacer uso de su cuenta para el exclusivo ejercicio de sus atribuciones, actividades y desempeño de las funciones que realiza.
13. La persona usuaria deberá observar en todo momento las disposiciones jurídicas vigentes en materia de clasificación de la información que genera y maneja en el ejercicio de sus atribuciones, actividades y desempeño de las funciones que realiza, incluyendo las relativas a correos electrónicos. 
14. La persona usuaria no deberá utilizar la información a la que tenga acceso para objetivos personales, ni suministrar dicha información a terceros sin observar las disposiciones jurídicas aplicables, ni obtener, en su caso, la autorización por escrito del servidor público de la institución que haya sido designado propietario de la información. 
15. Al término de la relación laboral o contrato con la Comisión, la persona usuaria conviene en devolver toda la información a la cual haya tenido acceso para cumplir con las funciones encomendadas.
16. La persona usuaria dará cumplimiento a las demás disposiciones que le sean comunicadas por la Gerencia de Tecnología de la Información y Comunicaciones, relacionadas con el uso de las soluciones tecnológicas, los servicios de la información, así como de los equipos de cómputo.
17. Para el caso de prestación de servicios por terceros, los responsables de proyectos por parte de la Comisión Nacional del Agua, que habiliten cuentas a proveedores, deberán firmar la presente responsiva de manera conjunta con los proveedores a los que se les asigne una cuenta.
18. En caso de incumplimiento de las presentes disposiciones, y demás instrumentos que en su caso se emitan, dará lugar a la suspensión de manera inmediata de la cuenta, con independencia de las sanciones administrativas, civiles o penales en que se pueda incurrir por violación a la normatividad jurídica.
19. Para el uso y manejo de la información a la que tengan acceso las personas usuarias, se deberá observar en todo momento lo dispuesto por la Ley General de Transparencia y Acceso a la Información Pública y su Reglamento, la Ley General de Responsabilidades Administrativas, el Manual Administrativo de Aplicación General en las materias de Tecnologías de la Información y Comunicaciones, y en la de Seguridad de la Información, los Lineamientos de Protección de Datos Personales, las recomendaciones para la organización y conservación de correos electrónicos institucionales de las dependencias y entidades de la Administración y demás ordenamientos jurídicos aplicables.
20. En el caso de baja del personal de CONAGUA o del término de contrato para el personal externo, será responsabilidad de la persona usuaria (para el caso de usuarios de CONAGUA) o del responsable de CONAGUA (para el caso del personal externo) y  de la persona que autoriza el alta, solicitar la baja o cancelación de la cuenta asignada a la persona usuaria que causa baja mediante el uso del Formato de Solicitud de movimientos de la persona usuaria de la red o el mecanismo que aplique, por lo que, en caso de omisión de este trámite, será plena responsabilidad de la persona usuaria y/o del responsable CONAGUA el mal uso de la misma y las consecuencias que de esto se deriven.</t>
  </si>
  <si>
    <t>Responsiva de uso para cuenta y equipo de cómputo de red de la CONAGUA</t>
  </si>
  <si>
    <t>Con fundamento en lo dispuesto en el artículo 21 fracciones IV y XIV del Reglamento Interior de la Comisión Nacional del Agua, en vinculación con el contenido del Acuerdo por el que se expide el Marco de Gestión de Seguridad de la Información, publicado en el Diario Oficial de la Federación el 09 de septiembre  del 2021, la Gerencia de Tecnología de la Información y Comunicaciones, hace del conocimiento que las y los usuarios de la Comisión Nacional del Agua que soliciten o tengan una cuenta, la cual incluye el usuario y contraseña, para uso de los servicios y sistemas institucionales solicitados en el formato "FORMATO SOLICITUD DE MOVIMIENTOS DE LA PERSONA USUARIA DE LA RED (ALTAS, BAJAS Y CAMBIOS)" deben observar los siguientes términos de uso:
1. De conformidad con el artículo 21, fracción V del Reglamento Interno de la Comisión Nacional del Agua, se otorgarán cuentas de correo electrónico institucional al personal de la CONAGUA. No obstante lo anterior y con la intención de dar cumplimiento a los objetivos de la Comisión y contando con la debida justificación, se otorgarán excepcionalmente cuentas de servicio genéricas de correo electrónico al personal externo.
2. Las cuentas de usuario asignadas son personales e intransferibles. Las consecuencias jurídicas y/o administrativas de los actos ejecutados, así como del mal uso de las mismas son responsabilidad del usuario(a) a quien se le haya asignado el manejo de la cuenta.
3. La persona usuaria debe cambiar su contraseña una vez al mes, la cual debe constar con al menos 12 caracteres alfanuméricos de los cuales, uno de ellos debe ser una letra mayúscula.
4. La persona usuaria debe evitar la repetición de contraseñas al efectuar los cambios periódicos de las mismas. La persona usuaria debe evitar exponer o difundir su contraseña, independientemente del medio en el cual sea almacenada.
5. En caso de utilizar hardware de seguridad, tales como generadores de contraseñas o tarjeta inteligente, la persona usuaria debe traerlos consigo.
6. Se bloqueará el acceso a la red después de tres intentos consecutivos fallidos.
7. Se bloqueará la cuenta de usuario que no se haya firmado en la red después de 30 días.
8. La persona usuaria debe verificar que su equipo de cómputo tenga configurado el protector de pantalla con contraseña, con la finalidad de evitar el acceso no autorizado a su información en caso de retiro temporal.
9. La persona usuaria del equipo de cómputo de escritorio debe asegurarse de que las chapas de seguridad de sus equipos se encuentren cerradas. Los usuarios de equipos portátiles deben asegurarse de colocar el cable y candado de seguridad correspondiente.
10. La persona usuaria no instalará software sin licencia, ni software libre. Sólo en caso de que requiera este último para el ejercicio de sus actividades se deberá solicitar la autorización a la Gerencia de Tecnología de la Información y Comunicaciones.</t>
  </si>
  <si>
    <t>Calle Tecuexe S/N Esq. Carretera a San Luis Potosí, Pb, Fracc. Solidaridad II C.P. 20263, Aguascalientes, Aguascalientes.</t>
  </si>
  <si>
    <t>Dirección Local Aguascalientes - Carretera Panamericana km 523, Pb, Fracc. Pilar Blanco, C.P. 20289, Aguascalientes, Aguascalientes.</t>
  </si>
  <si>
    <t>Carretera Panamericana Km. 523, Pb, Fracc. Pilar Blanco, C.P. 20289, Aguascalientes, Aguascalientes.</t>
  </si>
  <si>
    <t>Dirección Local Aguascalientes - Las Arboledas "La Cortina" S/N, Entrada a la Cortina de la Presa "Plutarco Elías Calles", Pb, C.P. 20500, San José de Gracia, Aguascalientes.</t>
  </si>
  <si>
    <t>Las Arboledas "La Cortina" S/N, Entrada a la Cortina de la Presa "Plutarco Elías Calles", Pb, C.P. 20500, San José de Gracia, Aguascalientes.</t>
  </si>
  <si>
    <t>Av. Ayuntamiento S/N Col. Centro C.P. 23880, Ciudad Loreto, Baja California Sur.</t>
  </si>
  <si>
    <t>Dirección Local Baja California Sur - Carretera a Bahía Tortugas km 8.0, Ejido Loma Bonita, C.P. 23935, Localidad Gustavo Díaz Ordaz, Municipio Mulegé, Baja California Sur.</t>
  </si>
  <si>
    <t>Dirección Local Campeche - Calle Zapateros Lote No. 6; Corredor Parque Industrial Siglo Si; Col. Multunchac; C.P. 24095, San Francisco de Campeche; Campeche.</t>
  </si>
  <si>
    <t>Calle Zapateros Lote No. 6; Corredor Parque Industrial Siglo Si; Col. Multunchac; C.P. 24095, San Francisco de Campeche; Campeche.</t>
  </si>
  <si>
    <t>Carretera 57 km 7.5, Col. El Sauz Saltillo, C.P. 25294, Coahuila, Coahuila.</t>
  </si>
  <si>
    <t>Dirección Local Colima - Av. Carlos de la Madrid Bejar Sn, Colonia Centro, C.P. 28000.</t>
  </si>
  <si>
    <t>Av. Carlos de la Madrid Bejar Sn, Colonia Centro, C.P. 28000.</t>
  </si>
  <si>
    <t>Dirección Local Colima - Domicilio Conocido, Presa Basilio Vadillo, Mpio. Ejutla, C.P. 48680, (19° 54' 57.67” N, 104° 03' 40.58”O).</t>
  </si>
  <si>
    <t>Domicilio Conocido, Presa Basilio Vadillo, Mpio. Ejutla, C.P. 48680, (19° 54' 57.67” N, 104° 03' 40.58”O).</t>
  </si>
  <si>
    <t>Domicilio Conocido, Presa Troje, Carretera Colima-Coalcamán km 29, C.P. 49870, (18° 58' 14.45” N, 103° 23' 49.44” O).</t>
  </si>
  <si>
    <t>Dirección Local Guanajuato - Calle Hacienda de Santiago #314, Colonia Primera Fracción de la Hacienda de Crespo, C.P.: 38110, Celaya Guanajuato.</t>
  </si>
  <si>
    <t>Calle Hacienda de Santiago #314, Colonia Primera Fracción de la Hacienda de Crespo, C.P.: 38110, Celaya Guanajuato.</t>
  </si>
  <si>
    <t>Dirección Local Guanajuato - Dom. Conocido En El km 4.250 de la Carretera Entronque San Miguel de Allende-Celaya a la Ciudad de Guanajuato, C.P. 37898,.</t>
  </si>
  <si>
    <t>Dirección Local Guanajuato - Domicilio Conocido Al Noroeste de las Comunidades del "Zangarro" y Al Noreste de "San José de Llanos Mpio. de Guanajuato, Guanajuato.</t>
  </si>
  <si>
    <t>Domicilio Conocido Al Noroeste de las Comunidades del "Zangarro" y Al Noreste de "San José de Llanos Mpio. de Guanajuato, Guanajuato.</t>
  </si>
  <si>
    <t>Dirección Local Michoacán - km. 3.5 Carretera Zamora-La Barca, S/N, Col. la Floresta C.P. 59690, Zamora, Michoacán.</t>
  </si>
  <si>
    <t>km. 3.5 Carretera Zamora-La Barca, S/N, Col. la Floresta C.P. 59690, Zamora, Michoacán.</t>
  </si>
  <si>
    <t>Felipe carrillo puerto</t>
  </si>
  <si>
    <t>Dirección Local Quintana Roo - Km 2.5 de la Carretera Antigua a Santa Elena, Fraccionamiento la Herradura, C.P. 77050, Chetumal, Municipio Othón P Blanco , Quintana Roo.</t>
  </si>
  <si>
    <t>Km 2.5 de la Carretera Antigua a Santa Elena, Fraccionamiento la Herradura, C.P. 77050, Chetumal, Municipio Othón P Blanco , Quintana Roo.</t>
  </si>
  <si>
    <t>Dirección Local San Luis Potosí - Prolongación Jiménez No. 603 Esquina Rayón, Col. Centro, C.P. 79610, Río Verde, San Luis Potosí.</t>
  </si>
  <si>
    <t>Prolongación Jiménez No. 603 Esquina Rayón, Col. Centro, C.P. 79610, Río Verde, San Luis Potosí.</t>
  </si>
  <si>
    <t>Dirección Local Tlaxcala - Calle 8 No. 703, Colonia la Loma Xicoténcatl, Tlaxcala, Tlaxcala C.P. 90062.</t>
  </si>
  <si>
    <t>Calle 8 No. 703, Colonia la Loma Xicoténcatl, Tlaxcala, Tlaxcala C.P. 90062.</t>
  </si>
  <si>
    <t>Dirección Local Zacatecas - C. Sánchez Román No. 26, Col Centro, Tlaltenango, Zacatecas, C.P. 99700.</t>
  </si>
  <si>
    <t>C. Sánchez Román No. 26, Col Centro, Tlaltenango, Zacatecas, C.P. 99700.</t>
  </si>
  <si>
    <t>Organismo de Cuenca Aguas del Valle de México - Av. Chiapas S/N, Esquina Dr., Jiménez Cantú, Colonia Constitución de 1917, Ecatepec Estado de México.</t>
  </si>
  <si>
    <t>Av. Chiapas S/N, Esquina Dr., Jiménez Cantú, Colonia Constitución de 1917, Ecatepec Estado de México.</t>
  </si>
  <si>
    <t>Organismo de Cuenca Aguas del Valle de México - Av. Dr. Jorge Jiménez Cantú S/N, Colonia Nuevo Madin, C.P. 52989, Atizapán de Zaragoza, Estado de México.</t>
  </si>
  <si>
    <t>Av. Dr. Jorge Jiménez Cantú S/N, Colonia Nuevo Madin, C.P. 52989, Atizapán de Zaragoza, Estado de México.</t>
  </si>
  <si>
    <t>Organismo de Cuenca Aguas del Valle de México - Av. México S/N Col. Dos Ríos, C.P. 52790, Huixquilucan, Estado de México.</t>
  </si>
  <si>
    <t>Av. México S/N Col. Dos Ríos, C.P. 52790, Huixquilucan, Estado de México.</t>
  </si>
  <si>
    <t>Organismo de Cuenca Aguas del Valle de México - Presa Colorines Frente a Oficinas de Café Carr. Colorines Santo Tomas de los Plátanos, Valle de Bravo, Estado de México.</t>
  </si>
  <si>
    <t>Presa Colorines Frente a Oficinas de Café Carr. Colorines Santo Tomas de los Plátanos, Valle de Bravo, Estado de México.</t>
  </si>
  <si>
    <t>Organismo de Cuenca Cuencas Centrales del Norte - Av. Cipreses Esquina Con Paseo la Rosita S/N. Col. Residencial Campestre la Rosita. Torreón, Coahuila de Zaragoza. C.P. 27250.</t>
  </si>
  <si>
    <t>Av. Cipreses Esquina Con Paseo la Rosita S/N. Col. Residencial Campestre la Rosita. Torreón, Coahuila de Zaragoza. C.P. 27250.</t>
  </si>
  <si>
    <t>Organismo de Cuenca Cuencas Centrales del Norte - Av. Francisco I. Madero 385 Nte. Col. Centro. Lerdo, Durango. C.P. 35150.</t>
  </si>
  <si>
    <t>Av. Francisco I. Madero 385 Nte. Col. Centro. Lerdo, Durango. C.P. 35150.</t>
  </si>
  <si>
    <t>Organismo de Cuenca Cuencas Centrales del Norte - Blvd. José Santos Valdez S/N. Col. Mariano Matamoros. Matamoros, Coahuila de Zaragoza. C.P. 27445.</t>
  </si>
  <si>
    <t>Blvd. José Santos Valdez S/N. Col. Mariano Matamoros. Matamoros, Coahuila de Zaragoza. C.P. 27445.</t>
  </si>
  <si>
    <t>Organismo de Cuenca Cuencas Centrales del Norte - Blvd. Madero 298 Sur. Col. Centro. Francisco I. Madero, Coahuila de Zaragoza. C.P. 27907.</t>
  </si>
  <si>
    <t>Blvd. Madero 298 Sur. Col. Centro. Francisco I. Madero, Coahuila de Zaragoza. C.P. 27907.</t>
  </si>
  <si>
    <t>Organismo de Cuenca Cuencas Centrales del Norte - Calzada Manuel Ávila Camacho 2777 Ote. Col. Magdalenas. Torreón, Coahuila de Zaragoza. C.P. 27010.</t>
  </si>
  <si>
    <t>Calzada Manuel Ávila Camacho 2777 Ote. Col. Magdalenas. Torreón, Coahuila de Zaragoza. C.P. 27010.</t>
  </si>
  <si>
    <t>Organismo de Cuenca Cuencas Centrales del Norte - Carretera Interoceánica Km1. Carretera Torreón - San Pedro. San Pedro, Coahuila de Zaragoza. C.P. 27845.</t>
  </si>
  <si>
    <t>Carretera Interoceánica Km1. Carretera Torreón - San Pedro. San Pedro, Coahuila de Zaragoza. C.P. 27845.</t>
  </si>
  <si>
    <t>Organismo de Cuenca Cuencas Centrales del Norte - Carretera Pedriceña - Nazas, Km 45. Nazas, Durango. C.P. 35704.</t>
  </si>
  <si>
    <t>Carretera Pedriceña - Nazas, Km 45. Nazas, Durango. C.P. 35704.</t>
  </si>
  <si>
    <t>Organismo de Cuenca Frontera Sur - Blvd. Escritor Armando Jiménez S/N, Fracc. los Laguitos, C.P. 29023.</t>
  </si>
  <si>
    <t>Blvd. Escritor Armando Jiménez S/N, Fracc. los Laguitos, C.P. 29023.</t>
  </si>
  <si>
    <t>Organismo de Cuenca Golfo Centro - Calle Roble S/N, Unidad FOVISSSTE, Colonia El Espinal, C.P. 94320, Orizaba, Veracruz.</t>
  </si>
  <si>
    <t>Calle Roble S/ FOVISSSTE, Colonia El Espinal, C.P. 94320, Orizaba, Veracruz.</t>
  </si>
  <si>
    <t>Organismo de Cuenca Golfo Centro - Zapotecos No. 1, Piso 1, C.P. 95427, Mpio. Cosamaloapan, Miguel Alemán, Veracruz.</t>
  </si>
  <si>
    <t>Zapotecos No. 1, Piso 1, C.P. 95427, Mpio. Cosamaloapan, Miguel Alemán, Veracruz.</t>
  </si>
  <si>
    <t>Organismo de Cuenca Golfo Norte - Calle Abasolo No. 602 Sur Zona Centro C.P.87950, Xicoténcatl, Tamaulipas.</t>
  </si>
  <si>
    <t>Xicoténcatl</t>
  </si>
  <si>
    <t>Calle Abasolo No. 602 Sur Zona Centro C.P.87950, Xicoténcatl, Tamaulipas.</t>
  </si>
  <si>
    <t>Organismo de Cuenca Golfo Norte - Carretera Pánuco-Tempoal km. 2.8 Col. Rafael Hernández Ochoa C.P. 93995, Pánuco, Veracruz.</t>
  </si>
  <si>
    <t>Carretera Pánuco-Tempoal km. 2.8 Col. Rafael Hernández Ochoa C.P. 93995, Pánuco, Veracruz.</t>
  </si>
  <si>
    <t>Organismo de Cuenca Noroeste - Blvd. Luis Encinas No. 399 Col El Ranchito C.P. 83050, Hermosillo, Sonora.</t>
  </si>
  <si>
    <t>Blvd. Luis Encinas No. 399 Col El Ranchito C.P. 83050, Hermosillo, Sonora.</t>
  </si>
  <si>
    <t>Organismo de Cuenca Noroeste - Blvd. Paseo de la Cultura y Comonfort Edificio México, 3er Piso, Col. Villa de Seris C.P. 83280, Hermosillo, Sonora.</t>
  </si>
  <si>
    <t>Organismo de Cuenca Noroeste - Cerro de la Sirena S/N , Col. Centro, C.P. 83340, Nacozari de García, Sonora.</t>
  </si>
  <si>
    <t>Nacozari de García</t>
  </si>
  <si>
    <t>Cerro de la Sirena S/N , Col. Centro, C.P. 83340, Nacozari de García, Sonora.</t>
  </si>
  <si>
    <t>Organismo de Cuenca Noroeste - kilómetro 48 +250M de la Carretera Internacional 15, Nainari S/N C.P. 85510, Vicam, Sonora.</t>
  </si>
  <si>
    <t>kilómetro 48 +250M de la Carretera Internacional 15, Nainari S/N C.P. 85510, Vicam, Sonora.</t>
  </si>
  <si>
    <t>Organismo de Cuenca Pacífico Norte - Ángel Flores No. 903 Altos, Palacio Federal, Edificio Telégrafos, Col. Centro, C.P. 82000, Mazatlán, Sinaloa.</t>
  </si>
  <si>
    <t>Ángel Flores No. 903 Altos, Palacio Federal, Edificio Telégrafos, Col. Centro, C.P. 82000, Mazatlán, Sinaloa.</t>
  </si>
  <si>
    <t>Organismo de Cuenca Pacífico Norte - Av. Federalismo y Blvd. Culiacán S/N, Col. Recursos Hidráulicos, C.P. 8015, Culiacán, Sinaloa.</t>
  </si>
  <si>
    <t>Av. Federalismo y Blvd. Culiacán S/N, Col. Recursos Hidráulicos, C.P. 8015, Culiacán, Sinaloa.</t>
  </si>
  <si>
    <t>Organismo de Cuenca Pacífico Norte - Blvd. Rosales y Jaime Dunat S/N, Col. Centro, C.P. 81400, Guamúchil, Sinaloa.</t>
  </si>
  <si>
    <t>Blvd. Rosales y Jaime Dunat S/N, Col. Centro, C.P. 81400, Guamúchil, Sinaloa.</t>
  </si>
  <si>
    <t>Organismo de Cuenca Pacífico Norte - Calle Liceo Rosales 6413, Ignacio del Valle Lucero, C.P. 82129, Mazatlán, Sinaloa.</t>
  </si>
  <si>
    <t>Calle Liceo Rosales 6413, Ignacio del Valle Lucero, C.P. 82129, Mazatlán, Sinaloa.</t>
  </si>
  <si>
    <t>Organismo de Cuenca Pacífico Norte - Carretera a El Dorado, km 19.5, Junto a la Escuela de Agricultura, Culiacán, Sinaloa.</t>
  </si>
  <si>
    <t>Organismo de Cuenca Pacífico Sur - Luis Enrique Herro No. 101, Esquina Riveras del Rio Atoyac, Col. Vicente Suárez, C.P. 68033 Oaxaca, Oaxaca.</t>
  </si>
  <si>
    <t>Luis Enrique Herro No. 101, Esquina Riveras del Rio Atoyac, Col. Vicente Suárez, C.P. 68033 Oaxaca, Oaxaca.</t>
  </si>
  <si>
    <t>Organismo de Cuenca Península de Baja California - Av. Argentina Sn, Col Nuevas, Luis B. Sánchez Sonora C.P. 83500.</t>
  </si>
  <si>
    <t>Luis B Sánchez</t>
  </si>
  <si>
    <t>Av. Argentina Sn, Col Nuevas, Luis B. Sánchez Sonora C.P. 83500.</t>
  </si>
  <si>
    <t>Organismo de Cuenca Península de Baja California - Domicilio Conocido Presa Abelardo L. Rodríguez Delegación la Presa Tijuana Baja California. C.P. 22740.</t>
  </si>
  <si>
    <t>Domicilio Conocido Presa Abelardo L. Rodríguez Delegación la Presa Tijuana Baja California. C.P. 22740.</t>
  </si>
  <si>
    <t>Organismo de Cuenca Península de Yucatán - Calle 7A Diagonal S/N X 38 y 40 Fracc. los Ángeles Ampliación Juan Pablo Ii Cardenales, Mérida, Yucatán, C.P. 97246.</t>
  </si>
  <si>
    <t>Calle 7A Diagonal S/N X 38 y 40 Fracc. los Ángeles Ampliación Juan Pablo Ii Cardenales, Mérida, Yucatán, C.P. 97246.</t>
  </si>
  <si>
    <t>Organismo de Cuenca Río Bravo - Carr. a Salinas Victoria Km 1.5, Aeropuerto del Norte, Apodaca, Nuevo León., C.P. 66610.</t>
  </si>
  <si>
    <t>Carr. a Salinas Victoria Km 1.5, Aeropuerto del Norte, Apodaca, Nuevo León., C.P. 66610.</t>
  </si>
  <si>
    <t>Dirección Local Aguascalientes - Calle Tecuexe S/N Esq. Carretera a San Luis Potosí, Pb, Fracc. Solidaridad II, C.P. 20263, Aguascalientes, Aguascalientes.</t>
  </si>
  <si>
    <t>Ingresar los datos sin abreviaturas, del usuario interno que utilizará la cuenta. Estos datos, son los que tendrá la cuenta después del cambio.</t>
  </si>
  <si>
    <t>Ingresar los datos sin abreviaturas, del usuario interno responsable que utilizará la cuenta de servicio. Estos datos, son los que tendrá la cuenta después del cambio.</t>
  </si>
  <si>
    <t>Ingresar los datos sin abreviaturas, del usuario externo que utilizará la cuenta genérica. Para alta de cuenta de usuario externo, se asignará un usuario genérico y correo institucional.</t>
  </si>
  <si>
    <t>Ingresar los datos sin abreviaturas, del usuario externo que utilizará la cuenta genérica. Estos datos, son los que tendrá la cuenta después del cambio.</t>
  </si>
  <si>
    <t>Validación de formato en PDF</t>
  </si>
  <si>
    <t>Validación de solicitud de reporte a mesa de servicios</t>
  </si>
  <si>
    <t>Se requiere la reactivación de la cuenta por cambio de Unidad Administrativa.</t>
  </si>
  <si>
    <t>Se requiere la reactivación de la cuenta por cambio de Dirección o Subdirección.</t>
  </si>
  <si>
    <t>Reactivación de la cuenta por cambio de Área.</t>
  </si>
  <si>
    <t>Reactivación de la cuenta por cambio de Unidad Administrativa.</t>
  </si>
  <si>
    <t>Reactivación de la cuenta por cambio de Dirección o Subdirección.</t>
  </si>
  <si>
    <t>Se requiere la reactivación de la cuenta por cambio de área.</t>
  </si>
  <si>
    <t>Seleccionar el tipo de movimiento.</t>
  </si>
  <si>
    <t>Seleccionar una justificación.</t>
  </si>
  <si>
    <t>Alta (int, ext y cs), Baja (int) y cambio (int, ext y cs)</t>
  </si>
  <si>
    <t>Baja externo</t>
  </si>
  <si>
    <t>Baja cuenta de servicio</t>
  </si>
  <si>
    <t>Baja de la cuenta por pérdida de confianza.</t>
  </si>
  <si>
    <t>Se requiere la baja de la cuenta en Directorio Activo y Exchange, por pérdida de confianza.</t>
  </si>
  <si>
    <t xml:space="preserve">                                       HOJA                        1 de 2
                                       VERSIÓN                 1.0
                                       FECHA                     OCTUBRE 2025</t>
  </si>
  <si>
    <t xml:space="preserve">                                       HOJA                        2 de 2
                                       VERSIÓN                 1.0
                                       FECHA                     OCTUBRE 2025</t>
  </si>
  <si>
    <t>Baja de la cuenta por cambio de Unidad Administrativa.</t>
  </si>
  <si>
    <t>Baja de la cuenta por cambio de Dirección o Subdirección.</t>
  </si>
  <si>
    <t>Baja de la cuenta por cambio de Área.</t>
  </si>
  <si>
    <t>Se requiere la baja de la cuenta por cambio de Unidad Administrativa.</t>
  </si>
  <si>
    <t>Se requiere la baja de la cuenta por cambio de Dirección o Subdirección.</t>
  </si>
  <si>
    <t>Se requiere la baja de la cuenta por cambio de área.</t>
  </si>
  <si>
    <t>Cambio de datos en la cuenta de usuario.</t>
  </si>
  <si>
    <t>Mauricio Zavala Rodríguez</t>
  </si>
  <si>
    <t>7550-4024</t>
  </si>
  <si>
    <t>Lic. Mario Jimenez Molina</t>
  </si>
  <si>
    <t>Titular del Despacho del Enlace Administrativo</t>
  </si>
  <si>
    <t>Mtra. Verónica Martínez García</t>
  </si>
  <si>
    <t>Gerente de Servicios a Usuarios</t>
  </si>
  <si>
    <t>Se requiere actualizar los siguientes datos en la cuenta de usuario:</t>
  </si>
  <si>
    <t>Jesus Javier</t>
  </si>
  <si>
    <t>Loza Ramos</t>
  </si>
  <si>
    <t>Enlace B de Títulos y Movimientos</t>
  </si>
  <si>
    <t>Subdirección General de Administración del Agua</t>
  </si>
  <si>
    <t>Subgerencia de Administración</t>
  </si>
  <si>
    <t>LORJ970816HDFZMS03</t>
  </si>
  <si>
    <t>LORJ970816KG9</t>
  </si>
  <si>
    <t>7550-1298</t>
  </si>
  <si>
    <t>Se requiere el alta de la cuenta en Directorio Activo y Exchange, para que el usuario realice funciones de Enlace B de Títulos y Movimientos, en (la) Subgerencia de Administración. Se solicita usuario y correo institucional.</t>
  </si>
  <si>
    <t>Ingresar los datos, sin abreviaturas, de la persona que está elaborando la solicitud.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</si>
</sst>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409]dd\-mmm\-yy;@"/>
    <numFmt numFmtId="166" formatCode="[$-80A]d&quot; de &quot;mmmm&quot; de &quot;yyyy;@"/>
  </numFmts>
  <fonts count="18" x14ac:knownFonts="1">
    <font>
      <sz val="11"/>
      <color theme="1"/>
      <name val="Calibri"/>
      <family val="2"/>
      <scheme val="minor"/>
    </font>
    <font>
      <b/>
      <sz val="11"/>
      <color theme="1"/>
      <name val="Calibri"/>
      <family val="2"/>
      <scheme val="minor"/>
    </font>
    <font>
      <sz val="10"/>
      <color theme="1"/>
      <name val="Calibri"/>
      <family val="2"/>
      <scheme val="minor"/>
    </font>
    <font>
      <sz val="8"/>
      <color theme="1"/>
      <name val="Arial"/>
      <family val="2"/>
    </font>
    <font>
      <sz val="8"/>
      <color theme="1"/>
      <name val="Calibri"/>
      <family val="2"/>
      <scheme val="minor"/>
    </font>
    <font>
      <b/>
      <sz val="10"/>
      <color theme="1"/>
      <name val="Calibri"/>
      <family val="2"/>
      <scheme val="minor"/>
    </font>
    <font>
      <sz val="12"/>
      <color theme="1"/>
      <name val="Calibri"/>
      <family val="2"/>
      <scheme val="minor"/>
    </font>
    <font>
      <sz val="9"/>
      <color theme="1"/>
      <name val="Calibri"/>
      <family val="2"/>
      <scheme val="minor"/>
    </font>
    <font>
      <sz val="6"/>
      <name val="Calibri"/>
      <family val="2"/>
      <scheme val="minor"/>
    </font>
    <font>
      <b/>
      <sz val="11"/>
      <name val="Calibri"/>
      <family val="2"/>
      <scheme val="minor"/>
    </font>
    <font>
      <b/>
      <sz val="8"/>
      <color theme="1"/>
      <name val="Calibri"/>
      <family val="2"/>
      <scheme val="minor"/>
    </font>
    <font>
      <b/>
      <sz val="10"/>
      <color theme="4" tint="-0.249977111117893"/>
      <name val="Calibri"/>
      <family val="2"/>
      <scheme val="minor"/>
    </font>
    <font>
      <sz val="9"/>
      <color rgb="FF000000"/>
      <name val="Calibri"/>
      <family val="2"/>
      <scheme val="minor"/>
    </font>
    <font>
      <sz val="6"/>
      <color theme="1"/>
      <name val="Noto Sans"/>
      <family val="2"/>
    </font>
    <font>
      <b/>
      <sz val="6"/>
      <color theme="1"/>
      <name val="Noto Sans"/>
      <family val="2"/>
    </font>
    <font>
      <sz val="8"/>
      <color theme="1"/>
      <name val="Noto Sans"/>
      <family val="2"/>
    </font>
    <font>
      <b/>
      <sz val="8"/>
      <color theme="1"/>
      <name val="Noto Sans"/>
      <family val="2"/>
    </font>
    <font>
      <sz val="9"/>
      <name val="Calibri"/>
      <family val="2"/>
      <scheme val="minor"/>
    </font>
  </fonts>
  <fills count="3">
    <fill>
      <patternFill patternType="none"/>
    </fill>
    <fill>
      <patternFill patternType="gray125"/>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s>
  <cellStyleXfs count="1">
    <xf numFmtId="0" fontId="0" fillId="0" borderId="0"/>
  </cellStyleXfs>
  <cellXfs count="188">
    <xf numFmtId="0" fontId="0" fillId="0" borderId="0" xfId="0"/>
    <xf numFmtId="0" fontId="1" fillId="0" borderId="0" xfId="0" applyFont="1"/>
    <xf numFmtId="0" fontId="2" fillId="2" borderId="0" xfId="0" applyFont="1" applyFill="1" applyBorder="1" applyAlignment="1">
      <alignment horizontal="center" vertical="center"/>
    </xf>
    <xf numFmtId="0" fontId="0" fillId="2" borderId="0" xfId="0" applyFill="1"/>
    <xf numFmtId="0" fontId="2" fillId="2" borderId="0" xfId="0" applyFont="1" applyFill="1" applyBorder="1" applyAlignment="1">
      <alignment wrapText="1"/>
    </xf>
    <xf numFmtId="0" fontId="0" fillId="2" borderId="0" xfId="0" applyFill="1" applyBorder="1"/>
    <xf numFmtId="0" fontId="0" fillId="2" borderId="0" xfId="0" applyFill="1" applyBorder="1" applyAlignment="1">
      <alignment vertical="center" wrapText="1"/>
    </xf>
    <xf numFmtId="0" fontId="2" fillId="2" borderId="0" xfId="0" applyFont="1" applyFill="1" applyBorder="1"/>
    <xf numFmtId="0" fontId="0" fillId="2" borderId="0" xfId="0" applyFill="1" applyBorder="1" applyAlignment="1">
      <alignment horizontal="center" vertical="center" wrapText="1"/>
    </xf>
    <xf numFmtId="0" fontId="5" fillId="2" borderId="0" xfId="0" applyFont="1" applyFill="1" applyBorder="1" applyAlignment="1">
      <alignment horizontal="center"/>
    </xf>
    <xf numFmtId="0" fontId="2" fillId="2" borderId="0" xfId="0" applyFont="1" applyFill="1" applyAlignment="1"/>
    <xf numFmtId="0" fontId="0" fillId="0" borderId="0" xfId="0" applyAlignment="1">
      <alignment wrapText="1"/>
    </xf>
    <xf numFmtId="14" fontId="0" fillId="0" borderId="0" xfId="0" applyNumberFormat="1"/>
    <xf numFmtId="0" fontId="0" fillId="0" borderId="0" xfId="0" applyNumberFormat="1"/>
    <xf numFmtId="0" fontId="4" fillId="2" borderId="0" xfId="0" applyFont="1" applyFill="1" applyAlignment="1">
      <alignment horizontal="left" wrapText="1"/>
    </xf>
    <xf numFmtId="0" fontId="4" fillId="2" borderId="0" xfId="0" applyFont="1" applyFill="1" applyBorder="1" applyAlignment="1">
      <alignment wrapText="1"/>
    </xf>
    <xf numFmtId="0" fontId="3" fillId="2" borderId="0" xfId="0" applyFont="1" applyFill="1" applyBorder="1" applyAlignment="1">
      <alignment horizontal="center" vertical="center"/>
    </xf>
    <xf numFmtId="0" fontId="2" fillId="2" borderId="0" xfId="0" applyFont="1" applyFill="1" applyBorder="1" applyAlignment="1"/>
    <xf numFmtId="164" fontId="0" fillId="0" borderId="0" xfId="0" applyNumberFormat="1"/>
    <xf numFmtId="0" fontId="0" fillId="2" borderId="0" xfId="0" applyFill="1" applyBorder="1" applyAlignment="1">
      <alignment horizontal="center" vertical="center"/>
    </xf>
    <xf numFmtId="0" fontId="2" fillId="2" borderId="0" xfId="0" applyFont="1" applyFill="1" applyBorder="1" applyAlignment="1">
      <alignment horizontal="left" wrapText="1"/>
    </xf>
    <xf numFmtId="0" fontId="0" fillId="0" borderId="0" xfId="0" applyFont="1"/>
    <xf numFmtId="0" fontId="0" fillId="0" borderId="0" xfId="0" applyProtection="1"/>
    <xf numFmtId="0" fontId="2" fillId="2" borderId="0" xfId="0" applyFont="1" applyFill="1" applyBorder="1" applyAlignment="1" applyProtection="1">
      <alignment horizontal="left" wrapText="1"/>
    </xf>
    <xf numFmtId="0" fontId="6" fillId="2" borderId="0" xfId="0" applyFont="1" applyFill="1" applyBorder="1" applyAlignment="1" applyProtection="1">
      <alignment horizontal="center" vertical="center" wrapText="1"/>
    </xf>
    <xf numFmtId="0" fontId="0" fillId="2" borderId="0" xfId="0" applyFill="1" applyProtection="1"/>
    <xf numFmtId="0" fontId="7" fillId="2" borderId="0" xfId="0" applyFont="1" applyFill="1" applyBorder="1" applyAlignment="1" applyProtection="1">
      <alignment horizontal="left" wrapText="1"/>
    </xf>
    <xf numFmtId="0" fontId="2" fillId="2" borderId="2" xfId="0" applyFont="1" applyFill="1" applyBorder="1" applyAlignment="1" applyProtection="1">
      <alignment horizontal="center" wrapText="1"/>
    </xf>
    <xf numFmtId="0" fontId="2" fillId="2" borderId="11" xfId="0" applyFont="1" applyFill="1" applyBorder="1" applyAlignment="1" applyProtection="1">
      <alignment horizontal="left" wrapText="1"/>
    </xf>
    <xf numFmtId="0" fontId="0" fillId="2" borderId="0" xfId="0" applyFill="1" applyAlignment="1" applyProtection="1">
      <alignment horizontal="center" vertical="center"/>
    </xf>
    <xf numFmtId="0" fontId="0" fillId="2" borderId="0" xfId="0" applyFill="1" applyBorder="1" applyProtection="1"/>
    <xf numFmtId="0" fontId="2" fillId="2" borderId="12" xfId="0" applyFont="1" applyFill="1" applyBorder="1" applyAlignment="1" applyProtection="1">
      <alignment horizontal="left" wrapText="1"/>
    </xf>
    <xf numFmtId="0" fontId="2" fillId="2" borderId="3" xfId="0" applyFont="1" applyFill="1" applyBorder="1" applyAlignment="1" applyProtection="1">
      <alignment horizontal="left" wrapText="1"/>
    </xf>
    <xf numFmtId="0" fontId="2" fillId="0" borderId="15" xfId="0" applyFont="1" applyFill="1" applyBorder="1" applyAlignment="1" applyProtection="1">
      <alignment horizontal="left" wrapText="1"/>
    </xf>
    <xf numFmtId="0" fontId="2" fillId="2" borderId="10" xfId="0" applyFont="1" applyFill="1" applyBorder="1" applyAlignment="1" applyProtection="1">
      <alignment horizontal="left" wrapText="1"/>
    </xf>
    <xf numFmtId="0" fontId="2" fillId="2" borderId="2" xfId="0" applyFont="1" applyFill="1" applyBorder="1" applyAlignment="1" applyProtection="1">
      <alignment horizontal="left" wrapText="1"/>
    </xf>
    <xf numFmtId="0" fontId="2" fillId="2" borderId="7" xfId="0" applyFont="1" applyFill="1" applyBorder="1" applyAlignment="1" applyProtection="1">
      <alignment horizontal="left" wrapText="1"/>
    </xf>
    <xf numFmtId="0" fontId="2" fillId="0" borderId="15" xfId="0" applyFont="1" applyFill="1" applyBorder="1" applyAlignment="1" applyProtection="1">
      <alignment wrapText="1"/>
    </xf>
    <xf numFmtId="0" fontId="2" fillId="2" borderId="0" xfId="0" applyFont="1" applyFill="1" applyBorder="1" applyAlignment="1" applyProtection="1">
      <alignment wrapText="1"/>
    </xf>
    <xf numFmtId="0" fontId="2" fillId="2" borderId="6" xfId="0" applyFont="1" applyFill="1" applyBorder="1" applyAlignment="1" applyProtection="1">
      <alignment horizontal="left" wrapText="1"/>
    </xf>
    <xf numFmtId="0" fontId="2" fillId="2" borderId="15" xfId="0" applyFont="1" applyFill="1" applyBorder="1" applyAlignment="1" applyProtection="1">
      <alignment horizontal="left" wrapText="1"/>
    </xf>
    <xf numFmtId="165" fontId="2" fillId="0" borderId="15" xfId="0" applyNumberFormat="1" applyFont="1" applyFill="1" applyBorder="1" applyAlignment="1" applyProtection="1">
      <alignment horizontal="left" wrapText="1"/>
    </xf>
    <xf numFmtId="0" fontId="2" fillId="2" borderId="0" xfId="0" applyFont="1" applyFill="1" applyBorder="1" applyAlignment="1" applyProtection="1">
      <alignment vertical="center"/>
    </xf>
    <xf numFmtId="0" fontId="2" fillId="2" borderId="0" xfId="0" applyFont="1" applyFill="1" applyBorder="1" applyAlignment="1" applyProtection="1">
      <alignment horizontal="center" vertical="center"/>
    </xf>
    <xf numFmtId="0" fontId="2" fillId="2" borderId="0" xfId="0" applyFont="1" applyFill="1" applyAlignment="1" applyProtection="1"/>
    <xf numFmtId="0" fontId="0" fillId="0" borderId="0" xfId="0" applyAlignment="1">
      <alignment horizontal="right"/>
    </xf>
    <xf numFmtId="0" fontId="2" fillId="2" borderId="6" xfId="0" applyFont="1" applyFill="1" applyBorder="1" applyAlignment="1" applyProtection="1">
      <alignment wrapText="1"/>
    </xf>
    <xf numFmtId="0" fontId="2" fillId="0" borderId="0" xfId="0" applyFont="1" applyFill="1" applyBorder="1" applyAlignment="1" applyProtection="1">
      <alignment horizontal="left" vertical="center" wrapText="1"/>
      <protection locked="0"/>
    </xf>
    <xf numFmtId="0" fontId="1" fillId="0" borderId="0" xfId="0" applyFont="1" applyAlignment="1">
      <alignment horizontal="center"/>
    </xf>
    <xf numFmtId="14" fontId="2" fillId="0" borderId="0" xfId="0" applyNumberFormat="1" applyFont="1" applyFill="1" applyBorder="1" applyAlignment="1" applyProtection="1">
      <alignment horizontal="left" wrapText="1"/>
      <protection locked="0"/>
    </xf>
    <xf numFmtId="0" fontId="5" fillId="0" borderId="6" xfId="0" applyFont="1" applyFill="1" applyBorder="1" applyAlignment="1" applyProtection="1">
      <alignment horizontal="left" vertical="center" wrapText="1"/>
    </xf>
    <xf numFmtId="0" fontId="2" fillId="2" borderId="9" xfId="0" applyFont="1" applyFill="1" applyBorder="1" applyAlignment="1" applyProtection="1">
      <alignment horizontal="center" wrapText="1"/>
    </xf>
    <xf numFmtId="0" fontId="1" fillId="0" borderId="0" xfId="0" applyFont="1" applyAlignment="1">
      <alignment wrapText="1"/>
    </xf>
    <xf numFmtId="0" fontId="4" fillId="0" borderId="0" xfId="0" applyFont="1" applyBorder="1" applyAlignment="1">
      <alignment horizontal="left" wrapText="1"/>
    </xf>
    <xf numFmtId="0" fontId="8" fillId="2" borderId="0" xfId="0" applyFont="1" applyFill="1" applyBorder="1" applyAlignment="1">
      <alignment horizontal="left" vertical="center" wrapText="1"/>
    </xf>
    <xf numFmtId="0" fontId="2" fillId="2" borderId="0" xfId="0" applyFont="1" applyFill="1" applyBorder="1" applyAlignment="1" applyProtection="1">
      <alignment horizontal="center" wrapText="1"/>
    </xf>
    <xf numFmtId="0" fontId="2" fillId="2" borderId="4" xfId="0" applyFont="1" applyFill="1" applyBorder="1" applyAlignment="1" applyProtection="1">
      <alignment vertical="center" wrapText="1"/>
    </xf>
    <xf numFmtId="0" fontId="5" fillId="2" borderId="6" xfId="0" applyFont="1" applyFill="1" applyBorder="1" applyAlignment="1" applyProtection="1">
      <alignment horizontal="left" vertical="center" wrapText="1"/>
    </xf>
    <xf numFmtId="0" fontId="2" fillId="2" borderId="15" xfId="0" applyFont="1" applyFill="1" applyBorder="1" applyAlignment="1" applyProtection="1">
      <alignment wrapText="1"/>
    </xf>
    <xf numFmtId="165" fontId="2" fillId="2" borderId="15" xfId="0" applyNumberFormat="1" applyFont="1" applyFill="1" applyBorder="1" applyAlignment="1" applyProtection="1">
      <alignment horizontal="left" wrapText="1"/>
    </xf>
    <xf numFmtId="0" fontId="2" fillId="2" borderId="5" xfId="0" applyFont="1" applyFill="1" applyBorder="1" applyAlignment="1" applyProtection="1">
      <alignment horizontal="center" vertical="center" wrapText="1"/>
    </xf>
    <xf numFmtId="0" fontId="2" fillId="2" borderId="8" xfId="0" applyFont="1" applyFill="1" applyBorder="1" applyAlignment="1" applyProtection="1">
      <alignment horizontal="center" wrapText="1"/>
    </xf>
    <xf numFmtId="0" fontId="5" fillId="2" borderId="14" xfId="0" applyFont="1" applyFill="1" applyBorder="1" applyAlignment="1" applyProtection="1">
      <alignment wrapText="1"/>
    </xf>
    <xf numFmtId="0" fontId="5" fillId="2" borderId="6" xfId="0" applyFont="1" applyFill="1" applyBorder="1" applyAlignment="1" applyProtection="1">
      <alignment wrapText="1"/>
    </xf>
    <xf numFmtId="0" fontId="2" fillId="2" borderId="0" xfId="0" applyFont="1" applyFill="1" applyBorder="1" applyAlignment="1" applyProtection="1">
      <alignment horizontal="left" vertical="center" wrapText="1"/>
    </xf>
    <xf numFmtId="0" fontId="2" fillId="2" borderId="3" xfId="0" applyFont="1" applyFill="1" applyBorder="1" applyAlignment="1" applyProtection="1">
      <alignment horizontal="center" wrapText="1"/>
    </xf>
    <xf numFmtId="0" fontId="2" fillId="2" borderId="15" xfId="0" applyFont="1" applyFill="1" applyBorder="1" applyAlignment="1" applyProtection="1">
      <alignment horizontal="left" vertical="center" wrapText="1"/>
    </xf>
    <xf numFmtId="0" fontId="2" fillId="2" borderId="15" xfId="0" applyFont="1" applyFill="1" applyBorder="1" applyAlignment="1" applyProtection="1">
      <alignment horizontal="center" wrapText="1"/>
    </xf>
    <xf numFmtId="0" fontId="2" fillId="2" borderId="10" xfId="0" applyFont="1" applyFill="1" applyBorder="1" applyAlignment="1" applyProtection="1">
      <alignment horizontal="center" wrapText="1"/>
    </xf>
    <xf numFmtId="0" fontId="2" fillId="2" borderId="7" xfId="0" applyFont="1" applyFill="1" applyBorder="1" applyAlignment="1" applyProtection="1">
      <alignment horizontal="center" wrapText="1"/>
    </xf>
    <xf numFmtId="0" fontId="5" fillId="2" borderId="0" xfId="0" applyFont="1" applyFill="1" applyBorder="1" applyAlignment="1" applyProtection="1">
      <alignment horizontal="center" vertical="center" wrapText="1"/>
    </xf>
    <xf numFmtId="0" fontId="0" fillId="0" borderId="2" xfId="0" applyBorder="1" applyAlignment="1" applyProtection="1">
      <alignment vertical="center" wrapText="1"/>
    </xf>
    <xf numFmtId="0" fontId="9" fillId="2" borderId="0" xfId="0" applyFont="1" applyFill="1" applyBorder="1" applyAlignment="1" applyProtection="1">
      <alignment horizontal="center"/>
    </xf>
    <xf numFmtId="0" fontId="0" fillId="0" borderId="0" xfId="0" applyAlignment="1">
      <alignment horizontal="center" wrapText="1"/>
    </xf>
    <xf numFmtId="0" fontId="0" fillId="0" borderId="0" xfId="0" applyAlignment="1">
      <alignment horizontal="center"/>
    </xf>
    <xf numFmtId="0" fontId="2" fillId="2" borderId="11" xfId="0" applyFont="1" applyFill="1" applyBorder="1" applyAlignment="1" applyProtection="1">
      <alignment horizontal="left" vertical="center" wrapText="1"/>
    </xf>
    <xf numFmtId="0" fontId="4" fillId="0" borderId="13" xfId="0" applyFont="1" applyFill="1" applyBorder="1" applyAlignment="1" applyProtection="1">
      <alignment horizontal="center" wrapText="1"/>
    </xf>
    <xf numFmtId="0" fontId="5" fillId="2" borderId="7" xfId="0" applyFont="1" applyFill="1" applyBorder="1" applyAlignment="1" applyProtection="1">
      <alignment horizontal="center" vertical="center" wrapText="1"/>
    </xf>
    <xf numFmtId="0" fontId="10" fillId="2" borderId="6" xfId="0" applyFont="1" applyFill="1" applyBorder="1" applyAlignment="1" applyProtection="1">
      <alignment horizontal="center" vertical="center" wrapText="1"/>
    </xf>
    <xf numFmtId="0" fontId="2" fillId="2" borderId="14" xfId="0" applyFont="1" applyFill="1" applyBorder="1" applyAlignment="1" applyProtection="1">
      <alignment horizontal="left" vertical="center" wrapText="1"/>
    </xf>
    <xf numFmtId="0" fontId="2" fillId="2" borderId="14" xfId="0" applyFont="1" applyFill="1" applyBorder="1" applyAlignment="1" applyProtection="1">
      <alignment horizontal="center" wrapText="1"/>
    </xf>
    <xf numFmtId="0" fontId="4" fillId="0" borderId="13" xfId="0" applyFont="1" applyBorder="1" applyAlignment="1" applyProtection="1">
      <alignment horizontal="center"/>
    </xf>
    <xf numFmtId="0" fontId="10" fillId="2" borderId="1" xfId="0" applyFont="1" applyFill="1" applyBorder="1" applyAlignment="1" applyProtection="1">
      <alignment horizontal="center" vertical="center" wrapText="1"/>
    </xf>
    <xf numFmtId="0" fontId="2" fillId="2" borderId="2" xfId="0" applyFont="1" applyFill="1" applyBorder="1" applyAlignment="1" applyProtection="1">
      <alignment wrapText="1"/>
    </xf>
    <xf numFmtId="0" fontId="2" fillId="2" borderId="8" xfId="0" applyFont="1" applyFill="1" applyBorder="1" applyAlignment="1" applyProtection="1">
      <alignment wrapText="1"/>
    </xf>
    <xf numFmtId="0" fontId="5" fillId="2" borderId="13" xfId="0" applyFont="1" applyFill="1" applyBorder="1" applyAlignment="1" applyProtection="1">
      <alignment horizontal="center" vertical="center" wrapText="1"/>
    </xf>
    <xf numFmtId="0" fontId="4" fillId="2" borderId="12" xfId="0" applyFont="1" applyFill="1" applyBorder="1" applyAlignment="1" applyProtection="1">
      <alignment horizontal="center" wrapText="1"/>
    </xf>
    <xf numFmtId="0" fontId="5" fillId="2" borderId="13" xfId="0" applyFont="1" applyFill="1" applyBorder="1" applyAlignment="1" applyProtection="1">
      <alignment horizontal="center" wrapText="1"/>
    </xf>
    <xf numFmtId="0" fontId="2" fillId="2" borderId="6" xfId="0" applyFont="1" applyFill="1" applyBorder="1" applyAlignment="1" applyProtection="1">
      <alignment horizontal="left" vertical="center" wrapText="1"/>
    </xf>
    <xf numFmtId="0" fontId="2" fillId="2" borderId="6" xfId="0" applyFont="1" applyFill="1" applyBorder="1" applyAlignment="1" applyProtection="1">
      <alignment horizontal="center" wrapText="1"/>
    </xf>
    <xf numFmtId="0" fontId="4" fillId="2" borderId="0" xfId="0" applyFont="1" applyFill="1" applyBorder="1" applyAlignment="1" applyProtection="1">
      <alignment wrapText="1"/>
    </xf>
    <xf numFmtId="0" fontId="2" fillId="2" borderId="12" xfId="0" applyFont="1" applyFill="1" applyBorder="1" applyAlignment="1" applyProtection="1">
      <alignment horizontal="left" vertical="center" wrapText="1"/>
    </xf>
    <xf numFmtId="0" fontId="2" fillId="0" borderId="0" xfId="0" applyFont="1" applyFill="1" applyBorder="1" applyAlignment="1" applyProtection="1">
      <alignment horizontal="left" vertical="center" wrapText="1"/>
    </xf>
    <xf numFmtId="0" fontId="2" fillId="0" borderId="15" xfId="0" applyFont="1" applyFill="1" applyBorder="1" applyAlignment="1" applyProtection="1">
      <alignment horizontal="left" vertical="center" wrapText="1"/>
    </xf>
    <xf numFmtId="14" fontId="2" fillId="2" borderId="0" xfId="0" applyNumberFormat="1" applyFont="1" applyFill="1" applyBorder="1" applyAlignment="1" applyProtection="1">
      <alignment horizontal="left" wrapText="1"/>
    </xf>
    <xf numFmtId="0" fontId="5" fillId="2" borderId="4" xfId="0" applyFont="1" applyFill="1" applyBorder="1" applyAlignment="1" applyProtection="1">
      <alignment horizontal="center" vertical="center" wrapText="1"/>
    </xf>
    <xf numFmtId="0" fontId="4" fillId="0" borderId="5" xfId="0" applyFont="1" applyBorder="1" applyAlignment="1" applyProtection="1">
      <alignment horizontal="center"/>
    </xf>
    <xf numFmtId="0" fontId="11" fillId="0" borderId="0" xfId="0" applyFont="1" applyFill="1" applyBorder="1" applyAlignment="1" applyProtection="1">
      <alignment horizontal="left" vertical="center" wrapText="1"/>
      <protection locked="0"/>
    </xf>
    <xf numFmtId="0" fontId="11" fillId="2" borderId="13" xfId="0" applyFont="1" applyFill="1" applyBorder="1" applyAlignment="1" applyProtection="1">
      <alignment horizontal="center" vertical="center" wrapText="1"/>
      <protection locked="0"/>
    </xf>
    <xf numFmtId="0" fontId="5" fillId="2" borderId="0" xfId="0" applyFont="1" applyFill="1" applyBorder="1" applyAlignment="1">
      <alignment horizontal="center" wrapText="1"/>
    </xf>
    <xf numFmtId="0" fontId="7" fillId="0" borderId="0" xfId="0" applyFont="1" applyFill="1" applyBorder="1" applyAlignment="1">
      <alignment horizontal="left" vertical="center" wrapText="1"/>
    </xf>
    <xf numFmtId="0" fontId="7" fillId="0" borderId="0" xfId="0" applyFont="1" applyBorder="1" applyAlignment="1">
      <alignment horizontal="center"/>
    </xf>
    <xf numFmtId="0" fontId="7" fillId="0" borderId="0" xfId="0" applyFont="1" applyBorder="1"/>
    <xf numFmtId="0" fontId="12" fillId="0" borderId="0" xfId="0" applyFont="1" applyFill="1" applyBorder="1" applyAlignment="1">
      <alignment horizontal="left" vertical="center" wrapText="1"/>
    </xf>
    <xf numFmtId="0" fontId="13" fillId="0" borderId="1" xfId="0" applyFont="1" applyBorder="1" applyAlignment="1">
      <alignment horizontal="center" wrapText="1"/>
    </xf>
    <xf numFmtId="0" fontId="13" fillId="0" borderId="1" xfId="0" applyFont="1" applyBorder="1" applyAlignment="1">
      <alignment vertical="center" wrapText="1"/>
    </xf>
    <xf numFmtId="0" fontId="15" fillId="2" borderId="1" xfId="0" applyFont="1" applyFill="1" applyBorder="1" applyAlignment="1">
      <alignment horizontal="center" vertical="center"/>
    </xf>
    <xf numFmtId="0" fontId="15" fillId="2" borderId="13"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5" fillId="2" borderId="13" xfId="0" applyFont="1" applyFill="1" applyBorder="1" applyAlignment="1">
      <alignment horizontal="left" wrapText="1"/>
    </xf>
    <xf numFmtId="0" fontId="15" fillId="2" borderId="11" xfId="0" applyFont="1" applyFill="1" applyBorder="1" applyAlignment="1">
      <alignment horizontal="left" wrapText="1"/>
    </xf>
    <xf numFmtId="0" fontId="15" fillId="2" borderId="12" xfId="0" applyFont="1" applyFill="1" applyBorder="1" applyAlignment="1" applyProtection="1">
      <alignment horizontal="left" wrapText="1"/>
    </xf>
    <xf numFmtId="0" fontId="15" fillId="2" borderId="2" xfId="0" applyFont="1" applyFill="1" applyBorder="1" applyAlignment="1">
      <alignment horizontal="left" wrapText="1"/>
    </xf>
    <xf numFmtId="0" fontId="15" fillId="2" borderId="8" xfId="0" applyFont="1" applyFill="1" applyBorder="1" applyAlignment="1">
      <alignment horizontal="left" wrapText="1"/>
    </xf>
    <xf numFmtId="0" fontId="15" fillId="2" borderId="12" xfId="0" applyFont="1" applyFill="1" applyBorder="1" applyAlignment="1">
      <alignment horizontal="left" wrapText="1"/>
    </xf>
    <xf numFmtId="0" fontId="15" fillId="2" borderId="3" xfId="0" applyFont="1" applyFill="1" applyBorder="1" applyAlignment="1">
      <alignment horizontal="left" vertical="center" wrapText="1"/>
    </xf>
    <xf numFmtId="0" fontId="15" fillId="2" borderId="3" xfId="0" applyFont="1" applyFill="1" applyBorder="1" applyAlignment="1">
      <alignment horizontal="left" wrapText="1"/>
    </xf>
    <xf numFmtId="0" fontId="15" fillId="2" borderId="11" xfId="0" applyFont="1" applyFill="1" applyBorder="1"/>
    <xf numFmtId="0" fontId="15" fillId="2" borderId="2" xfId="0" applyFont="1" applyFill="1" applyBorder="1" applyAlignment="1">
      <alignment horizontal="center" vertical="center" wrapText="1"/>
    </xf>
    <xf numFmtId="0" fontId="15" fillId="2" borderId="6" xfId="0" applyFont="1" applyFill="1" applyBorder="1" applyAlignment="1">
      <alignment horizontal="center" vertical="center" wrapText="1"/>
    </xf>
    <xf numFmtId="0" fontId="15" fillId="2" borderId="7" xfId="0" applyFont="1" applyFill="1" applyBorder="1" applyAlignment="1">
      <alignment horizontal="center" vertical="center" wrapText="1"/>
    </xf>
    <xf numFmtId="0" fontId="15" fillId="2" borderId="8" xfId="0" applyFont="1" applyFill="1" applyBorder="1" applyAlignment="1">
      <alignment horizontal="center" vertical="center" wrapText="1"/>
    </xf>
    <xf numFmtId="0" fontId="15" fillId="2" borderId="0" xfId="0" applyFont="1" applyFill="1" applyBorder="1" applyAlignment="1">
      <alignment horizontal="center" vertical="center" wrapText="1"/>
    </xf>
    <xf numFmtId="0" fontId="15" fillId="2" borderId="9" xfId="0" applyFont="1" applyFill="1" applyBorder="1" applyAlignment="1">
      <alignment wrapText="1"/>
    </xf>
    <xf numFmtId="0" fontId="15" fillId="2" borderId="9"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15" xfId="0" applyFont="1" applyFill="1" applyBorder="1" applyAlignment="1">
      <alignment horizontal="center" vertical="center" wrapText="1"/>
    </xf>
    <xf numFmtId="0" fontId="15" fillId="2" borderId="10" xfId="0" applyFont="1" applyFill="1" applyBorder="1" applyAlignment="1">
      <alignment horizontal="center" vertical="center" wrapText="1"/>
    </xf>
    <xf numFmtId="0" fontId="15" fillId="2" borderId="8" xfId="0" applyFont="1" applyFill="1" applyBorder="1"/>
    <xf numFmtId="0" fontId="15" fillId="2" borderId="0" xfId="0" applyFont="1" applyFill="1" applyBorder="1" applyAlignment="1"/>
    <xf numFmtId="0" fontId="15" fillId="2" borderId="9" xfId="0" applyFont="1" applyFill="1" applyBorder="1" applyAlignment="1"/>
    <xf numFmtId="0" fontId="4" fillId="0" borderId="0" xfId="0" applyFont="1" applyBorder="1"/>
    <xf numFmtId="0" fontId="17" fillId="0" borderId="0" xfId="0" applyFont="1" applyBorder="1" applyAlignment="1">
      <alignment horizontal="center"/>
    </xf>
    <xf numFmtId="0" fontId="17" fillId="0" borderId="0" xfId="0" applyFont="1" applyBorder="1"/>
    <xf numFmtId="0" fontId="17" fillId="0" borderId="0" xfId="0" applyFont="1" applyFill="1" applyBorder="1" applyAlignment="1">
      <alignment horizontal="center" vertical="center" wrapText="1"/>
    </xf>
    <xf numFmtId="0" fontId="2" fillId="2" borderId="13" xfId="0" applyFont="1" applyFill="1" applyBorder="1" applyAlignment="1" applyProtection="1">
      <alignment horizontal="center" vertical="center" wrapText="1"/>
    </xf>
    <xf numFmtId="0" fontId="2" fillId="2" borderId="12" xfId="0" applyFont="1" applyFill="1" applyBorder="1" applyAlignment="1" applyProtection="1">
      <alignment horizontal="center" vertical="center" wrapText="1"/>
    </xf>
    <xf numFmtId="0" fontId="4" fillId="2" borderId="13" xfId="0" applyFont="1" applyFill="1" applyBorder="1" applyAlignment="1" applyProtection="1">
      <alignment horizontal="center" wrapText="1"/>
    </xf>
    <xf numFmtId="0" fontId="4" fillId="2" borderId="11" xfId="0" applyFont="1" applyFill="1" applyBorder="1" applyAlignment="1" applyProtection="1">
      <alignment horizontal="center" wrapText="1"/>
    </xf>
    <xf numFmtId="0" fontId="4" fillId="2" borderId="12" xfId="0" applyFont="1" applyFill="1" applyBorder="1" applyAlignment="1" applyProtection="1">
      <alignment horizontal="center" wrapText="1"/>
    </xf>
    <xf numFmtId="0" fontId="11" fillId="0" borderId="4" xfId="0" applyFont="1" applyFill="1" applyBorder="1" applyAlignment="1" applyProtection="1">
      <alignment horizontal="center" vertical="center" wrapText="1"/>
      <protection locked="0"/>
    </xf>
    <xf numFmtId="0" fontId="11" fillId="0" borderId="5"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left" vertical="center" wrapText="1"/>
      <protection locked="0"/>
    </xf>
    <xf numFmtId="0" fontId="2" fillId="2" borderId="5" xfId="0" applyFont="1" applyFill="1" applyBorder="1" applyAlignment="1" applyProtection="1">
      <alignment horizontal="left" vertical="center" wrapText="1"/>
      <protection locked="0"/>
    </xf>
    <xf numFmtId="0" fontId="4" fillId="2" borderId="11" xfId="0" applyFont="1" applyFill="1" applyBorder="1" applyAlignment="1" applyProtection="1">
      <alignment horizontal="center"/>
    </xf>
    <xf numFmtId="0" fontId="4" fillId="2" borderId="12" xfId="0" applyFont="1" applyFill="1" applyBorder="1" applyAlignment="1" applyProtection="1">
      <alignment horizontal="center"/>
    </xf>
    <xf numFmtId="0" fontId="14" fillId="0" borderId="4" xfId="0" applyFont="1" applyBorder="1" applyAlignment="1">
      <alignment horizontal="center" vertical="center" wrapText="1"/>
    </xf>
    <xf numFmtId="0" fontId="14" fillId="0" borderId="5" xfId="0" applyFont="1" applyBorder="1" applyAlignment="1">
      <alignment horizontal="center" vertical="center" wrapText="1"/>
    </xf>
    <xf numFmtId="0" fontId="13" fillId="0" borderId="13" xfId="0" applyFont="1" applyBorder="1" applyAlignment="1">
      <alignment horizontal="center"/>
    </xf>
    <xf numFmtId="0" fontId="13" fillId="0" borderId="12" xfId="0" applyFont="1" applyBorder="1" applyAlignment="1">
      <alignment horizontal="center"/>
    </xf>
    <xf numFmtId="0" fontId="16" fillId="2" borderId="0" xfId="0" applyFont="1" applyFill="1" applyBorder="1" applyAlignment="1">
      <alignment horizontal="center" vertical="center" wrapText="1"/>
    </xf>
    <xf numFmtId="0" fontId="15" fillId="2" borderId="3" xfId="0" applyFont="1" applyFill="1" applyBorder="1" applyAlignment="1">
      <alignment horizontal="left" wrapText="1"/>
    </xf>
    <xf numFmtId="0" fontId="15" fillId="2" borderId="10" xfId="0" applyFont="1" applyFill="1" applyBorder="1" applyAlignment="1">
      <alignment horizontal="left" wrapText="1"/>
    </xf>
    <xf numFmtId="0" fontId="15" fillId="2" borderId="3" xfId="0" applyNumberFormat="1" applyFont="1" applyFill="1" applyBorder="1" applyAlignment="1">
      <alignment horizontal="left" wrapText="1"/>
    </xf>
    <xf numFmtId="0" fontId="15" fillId="2" borderId="10" xfId="0" applyNumberFormat="1" applyFont="1" applyFill="1" applyBorder="1" applyAlignment="1">
      <alignment horizontal="left" wrapText="1"/>
    </xf>
    <xf numFmtId="0" fontId="15" fillId="2" borderId="8" xfId="0" applyNumberFormat="1" applyFont="1" applyFill="1" applyBorder="1" applyAlignment="1">
      <alignment horizontal="left" wrapText="1"/>
    </xf>
    <xf numFmtId="0" fontId="15" fillId="2" borderId="9" xfId="0" applyNumberFormat="1" applyFont="1" applyFill="1" applyBorder="1" applyAlignment="1">
      <alignment horizontal="left" wrapText="1"/>
    </xf>
    <xf numFmtId="166" fontId="15" fillId="2" borderId="2" xfId="0" applyNumberFormat="1" applyFont="1" applyFill="1" applyBorder="1" applyAlignment="1">
      <alignment horizontal="left" wrapText="1"/>
    </xf>
    <xf numFmtId="166" fontId="15" fillId="2" borderId="7" xfId="0" applyNumberFormat="1" applyFont="1" applyFill="1" applyBorder="1" applyAlignment="1">
      <alignment horizontal="left" wrapText="1"/>
    </xf>
    <xf numFmtId="0" fontId="15" fillId="2" borderId="8" xfId="0" applyFont="1" applyFill="1" applyBorder="1" applyAlignment="1">
      <alignment horizontal="left" wrapText="1"/>
    </xf>
    <xf numFmtId="0" fontId="15" fillId="2" borderId="9" xfId="0" applyFont="1" applyFill="1" applyBorder="1" applyAlignment="1">
      <alignment horizontal="left" wrapText="1"/>
    </xf>
    <xf numFmtId="0" fontId="16" fillId="0" borderId="0" xfId="0" applyFont="1" applyBorder="1" applyAlignment="1">
      <alignment horizontal="center" wrapText="1"/>
    </xf>
    <xf numFmtId="0" fontId="16" fillId="0" borderId="6" xfId="0" applyFont="1" applyBorder="1" applyAlignment="1">
      <alignment horizontal="center" wrapText="1"/>
    </xf>
    <xf numFmtId="0" fontId="16" fillId="2" borderId="14" xfId="0" applyFont="1" applyFill="1" applyBorder="1" applyAlignment="1">
      <alignment horizontal="center" wrapText="1"/>
    </xf>
    <xf numFmtId="0" fontId="16" fillId="2" borderId="15" xfId="0" applyFont="1" applyFill="1" applyBorder="1" applyAlignment="1">
      <alignment horizontal="center" wrapText="1"/>
    </xf>
    <xf numFmtId="0" fontId="16" fillId="0" borderId="15" xfId="0" applyFont="1" applyBorder="1" applyAlignment="1">
      <alignment horizontal="center" wrapText="1"/>
    </xf>
    <xf numFmtId="0" fontId="15" fillId="2" borderId="2" xfId="0" applyFont="1" applyFill="1" applyBorder="1" applyAlignment="1">
      <alignment horizontal="left" wrapText="1"/>
    </xf>
    <xf numFmtId="0" fontId="15" fillId="2" borderId="7" xfId="0" applyFont="1" applyFill="1" applyBorder="1" applyAlignment="1">
      <alignment horizontal="left" wrapText="1"/>
    </xf>
    <xf numFmtId="0" fontId="15" fillId="2" borderId="6" xfId="0" applyFont="1" applyFill="1" applyBorder="1" applyAlignment="1">
      <alignment horizontal="left" wrapText="1"/>
    </xf>
    <xf numFmtId="0" fontId="15" fillId="2" borderId="15" xfId="0" applyFont="1" applyFill="1" applyBorder="1" applyAlignment="1">
      <alignment horizontal="left" wrapText="1"/>
    </xf>
    <xf numFmtId="0" fontId="13" fillId="0" borderId="3" xfId="0" applyFont="1" applyBorder="1" applyAlignment="1">
      <alignment horizontal="left" vertical="top" wrapText="1"/>
    </xf>
    <xf numFmtId="0" fontId="13" fillId="0" borderId="15" xfId="0" applyFont="1" applyBorder="1" applyAlignment="1">
      <alignment horizontal="left" vertical="top" wrapText="1"/>
    </xf>
    <xf numFmtId="0" fontId="13" fillId="0" borderId="10" xfId="0" applyFont="1" applyBorder="1" applyAlignment="1">
      <alignment horizontal="left" vertical="top" wrapText="1"/>
    </xf>
    <xf numFmtId="0" fontId="16" fillId="0" borderId="14" xfId="0" applyFont="1" applyBorder="1" applyAlignment="1">
      <alignment horizontal="center"/>
    </xf>
    <xf numFmtId="166" fontId="15" fillId="2" borderId="8" xfId="0" applyNumberFormat="1" applyFont="1" applyFill="1" applyBorder="1" applyAlignment="1">
      <alignment horizontal="left" wrapText="1"/>
    </xf>
    <xf numFmtId="166" fontId="15" fillId="2" borderId="9" xfId="0" applyNumberFormat="1" applyFont="1" applyFill="1" applyBorder="1" applyAlignment="1">
      <alignment horizontal="left" wrapText="1"/>
    </xf>
    <xf numFmtId="0" fontId="16" fillId="2" borderId="0" xfId="0" applyFont="1" applyFill="1" applyBorder="1" applyAlignment="1">
      <alignment horizontal="center" wrapText="1"/>
    </xf>
    <xf numFmtId="0" fontId="15" fillId="2" borderId="4" xfId="0" applyFont="1" applyFill="1" applyBorder="1" applyAlignment="1">
      <alignment horizontal="left" vertical="center" wrapText="1"/>
    </xf>
    <xf numFmtId="0" fontId="15" fillId="2" borderId="1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3" fillId="0" borderId="2" xfId="0" applyFont="1" applyBorder="1" applyAlignment="1">
      <alignment horizontal="left" wrapText="1"/>
    </xf>
    <xf numFmtId="0" fontId="13" fillId="0" borderId="6" xfId="0" applyFont="1" applyBorder="1" applyAlignment="1">
      <alignment horizontal="left" wrapText="1"/>
    </xf>
    <xf numFmtId="0" fontId="13" fillId="0" borderId="7" xfId="0" applyFont="1" applyBorder="1" applyAlignment="1">
      <alignment horizontal="left" wrapText="1"/>
    </xf>
    <xf numFmtId="166" fontId="15" fillId="2" borderId="3" xfId="0" applyNumberFormat="1" applyFont="1" applyFill="1" applyBorder="1" applyAlignment="1">
      <alignment horizontal="left" wrapText="1"/>
    </xf>
    <xf numFmtId="166" fontId="15" fillId="2" borderId="10" xfId="0" applyNumberFormat="1" applyFont="1" applyFill="1" applyBorder="1" applyAlignment="1">
      <alignment horizontal="left" wrapText="1"/>
    </xf>
    <xf numFmtId="0" fontId="15" fillId="2" borderId="3" xfId="0" applyFont="1" applyFill="1" applyBorder="1" applyAlignment="1">
      <alignment horizontal="left" vertical="center" wrapText="1"/>
    </xf>
    <xf numFmtId="0" fontId="15" fillId="2" borderId="10" xfId="0" applyFont="1" applyFill="1" applyBorder="1" applyAlignment="1">
      <alignment horizontal="left" vertical="center" wrapText="1"/>
    </xf>
    <xf numFmtId="0" fontId="1" fillId="0" borderId="0" xfId="0" applyFont="1" applyAlignment="1">
      <alignment horizontal="center"/>
    </xf>
  </cellXfs>
  <cellStyles count="1">
    <cellStyle name="Normal" xfId="0" builtinId="0"/>
  </cellStyles>
  <dxfs count="44">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8</xdr:col>
      <xdr:colOff>238125</xdr:colOff>
      <xdr:row>11</xdr:row>
      <xdr:rowOff>428625</xdr:rowOff>
    </xdr:from>
    <xdr:to>
      <xdr:col>8</xdr:col>
      <xdr:colOff>419602</xdr:colOff>
      <xdr:row>12</xdr:row>
      <xdr:rowOff>74325</xdr:rowOff>
    </xdr:to>
    <xdr:pic macro="[0]!ClearSol">
      <xdr:nvPicPr>
        <xdr:cNvPr id="7" name="Picture 6"/>
        <xdr:cNvPicPr>
          <a:picLocks noChangeAspect="1"/>
        </xdr:cNvPicPr>
      </xdr:nvPicPr>
      <xdr:blipFill>
        <a:blip xmlns:r="http://schemas.openxmlformats.org/officeDocument/2006/relationships" r:embed="rId1"/>
        <a:stretch>
          <a:fillRect/>
        </a:stretch>
      </xdr:blipFill>
      <xdr:spPr>
        <a:xfrm>
          <a:off x="12049125" y="3133725"/>
          <a:ext cx="181477" cy="217200"/>
        </a:xfrm>
        <a:prstGeom prst="rect">
          <a:avLst/>
        </a:prstGeom>
      </xdr:spPr>
    </xdr:pic>
    <xdr:clientData/>
  </xdr:twoCellAnchor>
  <xdr:twoCellAnchor editAs="oneCell">
    <xdr:from>
      <xdr:col>8</xdr:col>
      <xdr:colOff>238125</xdr:colOff>
      <xdr:row>42</xdr:row>
      <xdr:rowOff>704850</xdr:rowOff>
    </xdr:from>
    <xdr:to>
      <xdr:col>8</xdr:col>
      <xdr:colOff>419602</xdr:colOff>
      <xdr:row>42</xdr:row>
      <xdr:rowOff>922050</xdr:rowOff>
    </xdr:to>
    <xdr:pic macro="[0]!ClearJus">
      <xdr:nvPicPr>
        <xdr:cNvPr id="11" name="Picture 10"/>
        <xdr:cNvPicPr>
          <a:picLocks noChangeAspect="1"/>
        </xdr:cNvPicPr>
      </xdr:nvPicPr>
      <xdr:blipFill>
        <a:blip xmlns:r="http://schemas.openxmlformats.org/officeDocument/2006/relationships" r:embed="rId1"/>
        <a:stretch>
          <a:fillRect/>
        </a:stretch>
      </xdr:blipFill>
      <xdr:spPr>
        <a:xfrm>
          <a:off x="12049125" y="11210925"/>
          <a:ext cx="181477" cy="217200"/>
        </a:xfrm>
        <a:prstGeom prst="rect">
          <a:avLst/>
        </a:prstGeom>
      </xdr:spPr>
    </xdr:pic>
    <xdr:clientData/>
  </xdr:twoCellAnchor>
  <xdr:twoCellAnchor editAs="oneCell">
    <xdr:from>
      <xdr:col>8</xdr:col>
      <xdr:colOff>238125</xdr:colOff>
      <xdr:row>23</xdr:row>
      <xdr:rowOff>142875</xdr:rowOff>
    </xdr:from>
    <xdr:to>
      <xdr:col>8</xdr:col>
      <xdr:colOff>419602</xdr:colOff>
      <xdr:row>24</xdr:row>
      <xdr:rowOff>169575</xdr:rowOff>
    </xdr:to>
    <xdr:pic macro="[0]!ClearUsr">
      <xdr:nvPicPr>
        <xdr:cNvPr id="13" name="Picture 12"/>
        <xdr:cNvPicPr>
          <a:picLocks noChangeAspect="1"/>
        </xdr:cNvPicPr>
      </xdr:nvPicPr>
      <xdr:blipFill>
        <a:blip xmlns:r="http://schemas.openxmlformats.org/officeDocument/2006/relationships" r:embed="rId1"/>
        <a:stretch>
          <a:fillRect/>
        </a:stretch>
      </xdr:blipFill>
      <xdr:spPr>
        <a:xfrm>
          <a:off x="12049125" y="6619875"/>
          <a:ext cx="181477" cy="217200"/>
        </a:xfrm>
        <a:prstGeom prst="rect">
          <a:avLst/>
        </a:prstGeom>
      </xdr:spPr>
    </xdr:pic>
    <xdr:clientData/>
  </xdr:twoCellAnchor>
  <xdr:twoCellAnchor editAs="oneCell">
    <xdr:from>
      <xdr:col>8</xdr:col>
      <xdr:colOff>238125</xdr:colOff>
      <xdr:row>16</xdr:row>
      <xdr:rowOff>466725</xdr:rowOff>
    </xdr:from>
    <xdr:to>
      <xdr:col>8</xdr:col>
      <xdr:colOff>419602</xdr:colOff>
      <xdr:row>16</xdr:row>
      <xdr:rowOff>683925</xdr:rowOff>
    </xdr:to>
    <xdr:pic macro="[0]!ClearAut">
      <xdr:nvPicPr>
        <xdr:cNvPr id="9" name="Picture 8"/>
        <xdr:cNvPicPr>
          <a:picLocks noChangeAspect="1"/>
        </xdr:cNvPicPr>
      </xdr:nvPicPr>
      <xdr:blipFill>
        <a:blip xmlns:r="http://schemas.openxmlformats.org/officeDocument/2006/relationships" r:embed="rId1"/>
        <a:stretch>
          <a:fillRect/>
        </a:stretch>
      </xdr:blipFill>
      <xdr:spPr>
        <a:xfrm>
          <a:off x="12049125" y="4505325"/>
          <a:ext cx="181477" cy="217200"/>
        </a:xfrm>
        <a:prstGeom prst="rect">
          <a:avLst/>
        </a:prstGeom>
      </xdr:spPr>
    </xdr:pic>
    <xdr:clientData/>
  </xdr:twoCellAnchor>
  <xdr:twoCellAnchor editAs="oneCell">
    <xdr:from>
      <xdr:col>8</xdr:col>
      <xdr:colOff>238125</xdr:colOff>
      <xdr:row>35</xdr:row>
      <xdr:rowOff>66675</xdr:rowOff>
    </xdr:from>
    <xdr:to>
      <xdr:col>8</xdr:col>
      <xdr:colOff>419602</xdr:colOff>
      <xdr:row>36</xdr:row>
      <xdr:rowOff>93375</xdr:rowOff>
    </xdr:to>
    <xdr:pic macro="[0]!ClearAData">
      <xdr:nvPicPr>
        <xdr:cNvPr id="10" name="Picture 9"/>
        <xdr:cNvPicPr>
          <a:picLocks noChangeAspect="1"/>
        </xdr:cNvPicPr>
      </xdr:nvPicPr>
      <xdr:blipFill>
        <a:blip xmlns:r="http://schemas.openxmlformats.org/officeDocument/2006/relationships" r:embed="rId1"/>
        <a:stretch>
          <a:fillRect/>
        </a:stretch>
      </xdr:blipFill>
      <xdr:spPr>
        <a:xfrm>
          <a:off x="12049125" y="8953500"/>
          <a:ext cx="181477" cy="217200"/>
        </a:xfrm>
        <a:prstGeom prst="rect">
          <a:avLst/>
        </a:prstGeom>
      </xdr:spPr>
    </xdr:pic>
    <xdr:clientData/>
  </xdr:twoCellAnchor>
  <xdr:twoCellAnchor editAs="oneCell">
    <xdr:from>
      <xdr:col>8</xdr:col>
      <xdr:colOff>190501</xdr:colOff>
      <xdr:row>41</xdr:row>
      <xdr:rowOff>38101</xdr:rowOff>
    </xdr:from>
    <xdr:to>
      <xdr:col>8</xdr:col>
      <xdr:colOff>471528</xdr:colOff>
      <xdr:row>41</xdr:row>
      <xdr:rowOff>331036</xdr:rowOff>
    </xdr:to>
    <xdr:pic macro="[0]!CopyJus">
      <xdr:nvPicPr>
        <xdr:cNvPr id="2" name="Picture 1"/>
        <xdr:cNvPicPr>
          <a:picLocks noChangeAspect="1"/>
        </xdr:cNvPicPr>
      </xdr:nvPicPr>
      <xdr:blipFill>
        <a:blip xmlns:r="http://schemas.openxmlformats.org/officeDocument/2006/relationships" r:embed="rId2"/>
        <a:stretch>
          <a:fillRect/>
        </a:stretch>
      </xdr:blipFill>
      <xdr:spPr>
        <a:xfrm>
          <a:off x="11563351" y="8524876"/>
          <a:ext cx="281027" cy="292935"/>
        </a:xfrm>
        <a:prstGeom prst="rect">
          <a:avLst/>
        </a:prstGeom>
      </xdr:spPr>
    </xdr:pic>
    <xdr:clientData/>
  </xdr:twoCellAnchor>
  <xdr:twoCellAnchor editAs="oneCell">
    <xdr:from>
      <xdr:col>1</xdr:col>
      <xdr:colOff>142875</xdr:colOff>
      <xdr:row>0</xdr:row>
      <xdr:rowOff>28575</xdr:rowOff>
    </xdr:from>
    <xdr:to>
      <xdr:col>1</xdr:col>
      <xdr:colOff>2324404</xdr:colOff>
      <xdr:row>0</xdr:row>
      <xdr:rowOff>638260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 y="28575"/>
          <a:ext cx="2181529" cy="609685"/>
        </a:xfrm>
        <a:prstGeom prst="rect">
          <a:avLst/>
        </a:prstGeom>
      </xdr:spPr>
    </xdr:pic>
    <xdr:clientData/>
  </xdr:twoCellAnchor>
  <xdr:twoCellAnchor editAs="oneCell">
    <xdr:from>
      <xdr:col>8</xdr:col>
      <xdr:colOff>228600</xdr:colOff>
      <xdr:row>0</xdr:row>
      <xdr:rowOff>123825</xdr:rowOff>
    </xdr:from>
    <xdr:to>
      <xdr:col>8</xdr:col>
      <xdr:colOff>410077</xdr:colOff>
      <xdr:row>0</xdr:row>
      <xdr:rowOff>341025</xdr:rowOff>
    </xdr:to>
    <xdr:pic macro="[0]!ClearAll">
      <xdr:nvPicPr>
        <xdr:cNvPr id="12" name="Picture 11"/>
        <xdr:cNvPicPr>
          <a:picLocks noChangeAspect="1"/>
        </xdr:cNvPicPr>
      </xdr:nvPicPr>
      <xdr:blipFill>
        <a:blip xmlns:r="http://schemas.openxmlformats.org/officeDocument/2006/relationships" r:embed="rId1"/>
        <a:stretch>
          <a:fillRect/>
        </a:stretch>
      </xdr:blipFill>
      <xdr:spPr>
        <a:xfrm>
          <a:off x="11601450" y="123825"/>
          <a:ext cx="181477" cy="217200"/>
        </a:xfrm>
        <a:prstGeom prst="rect">
          <a:avLst/>
        </a:prstGeom>
      </xdr:spPr>
    </xdr:pic>
    <xdr:clientData/>
  </xdr:twoCellAnchor>
  <xdr:twoCellAnchor editAs="oneCell">
    <xdr:from>
      <xdr:col>8</xdr:col>
      <xdr:colOff>219075</xdr:colOff>
      <xdr:row>2</xdr:row>
      <xdr:rowOff>276225</xdr:rowOff>
    </xdr:from>
    <xdr:to>
      <xdr:col>8</xdr:col>
      <xdr:colOff>400552</xdr:colOff>
      <xdr:row>4</xdr:row>
      <xdr:rowOff>26700</xdr:rowOff>
    </xdr:to>
    <xdr:pic macro="[0]!ClearSDesk">
      <xdr:nvPicPr>
        <xdr:cNvPr id="14" name="Picture 13"/>
        <xdr:cNvPicPr>
          <a:picLocks noChangeAspect="1"/>
        </xdr:cNvPicPr>
      </xdr:nvPicPr>
      <xdr:blipFill>
        <a:blip xmlns:r="http://schemas.openxmlformats.org/officeDocument/2006/relationships" r:embed="rId1"/>
        <a:stretch>
          <a:fillRect/>
        </a:stretch>
      </xdr:blipFill>
      <xdr:spPr>
        <a:xfrm>
          <a:off x="11591925" y="1266825"/>
          <a:ext cx="181477" cy="217200"/>
        </a:xfrm>
        <a:prstGeom prst="rect">
          <a:avLst/>
        </a:prstGeom>
      </xdr:spPr>
    </xdr:pic>
    <xdr:clientData/>
  </xdr:twoCellAnchor>
  <xdr:twoCellAnchor editAs="oneCell">
    <xdr:from>
      <xdr:col>8</xdr:col>
      <xdr:colOff>219075</xdr:colOff>
      <xdr:row>7</xdr:row>
      <xdr:rowOff>19050</xdr:rowOff>
    </xdr:from>
    <xdr:to>
      <xdr:col>8</xdr:col>
      <xdr:colOff>400552</xdr:colOff>
      <xdr:row>8</xdr:row>
      <xdr:rowOff>45750</xdr:rowOff>
    </xdr:to>
    <xdr:pic macro="[0]!ClearReq">
      <xdr:nvPicPr>
        <xdr:cNvPr id="15" name="Picture 14"/>
        <xdr:cNvPicPr>
          <a:picLocks noChangeAspect="1"/>
        </xdr:cNvPicPr>
      </xdr:nvPicPr>
      <xdr:blipFill>
        <a:blip xmlns:r="http://schemas.openxmlformats.org/officeDocument/2006/relationships" r:embed="rId1"/>
        <a:stretch>
          <a:fillRect/>
        </a:stretch>
      </xdr:blipFill>
      <xdr:spPr>
        <a:xfrm>
          <a:off x="11677650" y="2152650"/>
          <a:ext cx="181477" cy="217200"/>
        </a:xfrm>
        <a:prstGeom prst="rect">
          <a:avLst/>
        </a:prstGeom>
      </xdr:spPr>
    </xdr:pic>
    <xdr:clientData/>
  </xdr:twoCellAnchor>
  <xdr:twoCellAnchor editAs="oneCell">
    <xdr:from>
      <xdr:col>7</xdr:col>
      <xdr:colOff>2266950</xdr:colOff>
      <xdr:row>0</xdr:row>
      <xdr:rowOff>28575</xdr:rowOff>
    </xdr:from>
    <xdr:to>
      <xdr:col>7</xdr:col>
      <xdr:colOff>2895688</xdr:colOff>
      <xdr:row>0</xdr:row>
      <xdr:rowOff>771629</xdr:rowOff>
    </xdr:to>
    <xdr:pic macro="[0]!SavePDF">
      <xdr:nvPicPr>
        <xdr:cNvPr id="6" name="Picture 5"/>
        <xdr:cNvPicPr>
          <a:picLocks noChangeAspect="1"/>
        </xdr:cNvPicPr>
      </xdr:nvPicPr>
      <xdr:blipFill>
        <a:blip xmlns:r="http://schemas.openxmlformats.org/officeDocument/2006/relationships" r:embed="rId4"/>
        <a:stretch>
          <a:fillRect/>
        </a:stretch>
      </xdr:blipFill>
      <xdr:spPr>
        <a:xfrm>
          <a:off x="11134725" y="28575"/>
          <a:ext cx="628738" cy="743054"/>
        </a:xfrm>
        <a:prstGeom prst="rect">
          <a:avLst/>
        </a:prstGeom>
      </xdr:spPr>
    </xdr:pic>
    <xdr:clientData/>
  </xdr:twoCellAnchor>
  <xdr:twoCellAnchor editAs="oneCell">
    <xdr:from>
      <xdr:col>7</xdr:col>
      <xdr:colOff>1447800</xdr:colOff>
      <xdr:row>0</xdr:row>
      <xdr:rowOff>57150</xdr:rowOff>
    </xdr:from>
    <xdr:to>
      <xdr:col>7</xdr:col>
      <xdr:colOff>2067011</xdr:colOff>
      <xdr:row>0</xdr:row>
      <xdr:rowOff>781151</xdr:rowOff>
    </xdr:to>
    <xdr:pic macro="[0]!OutlookMail">
      <xdr:nvPicPr>
        <xdr:cNvPr id="17" name="Picture 16"/>
        <xdr:cNvPicPr>
          <a:picLocks noChangeAspect="1"/>
        </xdr:cNvPicPr>
      </xdr:nvPicPr>
      <xdr:blipFill>
        <a:blip xmlns:r="http://schemas.openxmlformats.org/officeDocument/2006/relationships" r:embed="rId5"/>
        <a:stretch>
          <a:fillRect/>
        </a:stretch>
      </xdr:blipFill>
      <xdr:spPr>
        <a:xfrm>
          <a:off x="10315575" y="57150"/>
          <a:ext cx="619211" cy="724001"/>
        </a:xfrm>
        <a:prstGeom prst="rect">
          <a:avLst/>
        </a:prstGeom>
      </xdr:spPr>
    </xdr:pic>
    <xdr:clientData/>
  </xdr:twoCellAnchor>
  <xdr:twoCellAnchor editAs="oneCell">
    <xdr:from>
      <xdr:col>7</xdr:col>
      <xdr:colOff>47625</xdr:colOff>
      <xdr:row>0</xdr:row>
      <xdr:rowOff>28575</xdr:rowOff>
    </xdr:from>
    <xdr:to>
      <xdr:col>7</xdr:col>
      <xdr:colOff>504825</xdr:colOff>
      <xdr:row>0</xdr:row>
      <xdr:rowOff>781050</xdr:rowOff>
    </xdr:to>
    <xdr:pic macro="[0]!ExportCSV">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15400" y="28575"/>
          <a:ext cx="457200" cy="75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752475</xdr:colOff>
      <xdr:row>0</xdr:row>
      <xdr:rowOff>28575</xdr:rowOff>
    </xdr:from>
    <xdr:to>
      <xdr:col>7</xdr:col>
      <xdr:colOff>1219200</xdr:colOff>
      <xdr:row>0</xdr:row>
      <xdr:rowOff>781050</xdr:rowOff>
    </xdr:to>
    <xdr:pic macro="[0]!ImportCSV">
      <xdr:nvPicPr>
        <xdr:cNvPr id="20"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20250" y="28575"/>
          <a:ext cx="466725" cy="75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248049</xdr:colOff>
      <xdr:row>0</xdr:row>
      <xdr:rowOff>168672</xdr:rowOff>
    </xdr:from>
    <xdr:to>
      <xdr:col>1</xdr:col>
      <xdr:colOff>1993272</xdr:colOff>
      <xdr:row>1</xdr:row>
      <xdr:rowOff>61107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7190" y="168672"/>
          <a:ext cx="1745223" cy="487748"/>
        </a:xfrm>
        <a:prstGeom prst="rect">
          <a:avLst/>
        </a:prstGeom>
      </xdr:spPr>
    </xdr:pic>
    <xdr:clientData/>
  </xdr:twoCellAnchor>
  <xdr:oneCellAnchor>
    <xdr:from>
      <xdr:col>1</xdr:col>
      <xdr:colOff>238125</xdr:colOff>
      <xdr:row>41</xdr:row>
      <xdr:rowOff>158752</xdr:rowOff>
    </xdr:from>
    <xdr:ext cx="1745223" cy="487748"/>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7266" y="9376174"/>
          <a:ext cx="1745223" cy="487748"/>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112"/>
  <sheetViews>
    <sheetView tabSelected="1" showWhiteSpace="0" zoomScaleNormal="100" workbookViewId="0">
      <pane ySplit="1" topLeftCell="A2" activePane="bottomLeft" state="frozen"/>
      <selection pane="bottomLeft" activeCell="D1" sqref="D1"/>
    </sheetView>
  </sheetViews>
  <sheetFormatPr defaultRowHeight="15" x14ac:dyDescent="0.25"/>
  <cols>
    <col min="1" max="1" width="1.28515625" customWidth="1"/>
    <col min="2" max="2" width="38.5703125" customWidth="1"/>
    <col min="3" max="3" width="2.7109375" customWidth="1"/>
    <col min="4" max="4" width="75.28515625" customWidth="1"/>
    <col min="5" max="5" width="2.85546875" customWidth="1"/>
    <col min="6" max="6" width="6" customWidth="1"/>
    <col min="7" max="7" width="6.28515625" customWidth="1"/>
    <col min="8" max="8" width="44.140625" customWidth="1"/>
    <col min="9" max="9" width="9.42578125" customWidth="1"/>
    <col min="10" max="10" width="5.5703125" customWidth="1"/>
    <col min="11" max="11" width="5.42578125" customWidth="1"/>
  </cols>
  <sheetData>
    <row r="1" spans="1:28" ht="62.25" customHeight="1" x14ac:dyDescent="0.25">
      <c r="A1" s="22"/>
      <c r="B1" s="81" t="s">
        <v>167</v>
      </c>
      <c r="C1" s="71"/>
      <c r="D1" s="98" t="s">
        <v>1251</v>
      </c>
      <c r="E1" s="71"/>
      <c r="F1" s="82" t="s">
        <v>89</v>
      </c>
      <c r="G1" s="82" t="s">
        <v>90</v>
      </c>
      <c r="H1" s="22"/>
      <c r="I1" s="76" t="s">
        <v>91</v>
      </c>
      <c r="J1" s="5"/>
      <c r="K1" s="19"/>
      <c r="L1" s="5"/>
      <c r="M1" s="5"/>
      <c r="N1" s="5"/>
      <c r="O1" s="5"/>
      <c r="P1" s="5"/>
      <c r="Q1" s="3"/>
      <c r="R1" s="3"/>
      <c r="S1" s="3"/>
      <c r="T1" s="3"/>
      <c r="U1" s="3"/>
      <c r="V1" s="3"/>
      <c r="W1" s="3"/>
      <c r="X1" s="3"/>
      <c r="Y1" s="3"/>
      <c r="Z1" s="3"/>
      <c r="AA1" s="3"/>
      <c r="AB1" s="3"/>
    </row>
    <row r="2" spans="1:28" ht="15.75" x14ac:dyDescent="0.25">
      <c r="A2" s="22"/>
      <c r="B2" s="55"/>
      <c r="C2" s="23"/>
      <c r="D2" s="70"/>
      <c r="E2" s="24"/>
      <c r="F2" s="24"/>
      <c r="G2" s="24"/>
      <c r="H2" s="72"/>
      <c r="I2" s="26"/>
      <c r="J2" s="5"/>
      <c r="K2" s="19"/>
      <c r="L2" s="5"/>
      <c r="M2" s="5"/>
      <c r="N2" s="5"/>
      <c r="O2" s="5"/>
      <c r="P2" s="3"/>
      <c r="Q2" s="3"/>
      <c r="R2" s="3"/>
      <c r="S2" s="3"/>
      <c r="T2" s="3"/>
      <c r="U2" s="3"/>
      <c r="V2" s="3"/>
      <c r="W2" s="3"/>
      <c r="X2" s="3"/>
      <c r="Y2" s="3"/>
      <c r="Z2" s="3"/>
      <c r="AA2" s="3"/>
      <c r="AB2" s="3"/>
    </row>
    <row r="3" spans="1:28" ht="15" customHeight="1" x14ac:dyDescent="0.25">
      <c r="A3" s="25"/>
      <c r="B3" s="85" t="s">
        <v>146</v>
      </c>
      <c r="C3" s="27"/>
      <c r="D3" s="50" t="s">
        <v>147</v>
      </c>
      <c r="E3" s="57"/>
      <c r="F3" s="78"/>
      <c r="G3" s="78"/>
      <c r="H3" s="77"/>
      <c r="I3" s="137" t="s">
        <v>94</v>
      </c>
      <c r="J3" s="3"/>
      <c r="K3" s="3"/>
      <c r="L3" s="3"/>
      <c r="M3" s="3"/>
      <c r="N3" s="3"/>
      <c r="O3" s="3"/>
      <c r="P3" s="3"/>
      <c r="Q3" s="3"/>
      <c r="R3" s="3"/>
      <c r="S3" s="3"/>
      <c r="T3" s="3"/>
      <c r="U3" s="3"/>
      <c r="V3" s="3"/>
      <c r="W3" s="3"/>
      <c r="X3" s="3"/>
      <c r="Y3" s="3"/>
      <c r="Z3" s="3"/>
      <c r="AA3" s="3"/>
      <c r="AB3" s="3"/>
    </row>
    <row r="4" spans="1:28" ht="15" customHeight="1" x14ac:dyDescent="0.25">
      <c r="A4" s="25"/>
      <c r="B4" s="28" t="s">
        <v>142</v>
      </c>
      <c r="C4" s="61"/>
      <c r="D4" s="47"/>
      <c r="E4" s="64"/>
      <c r="F4" s="64"/>
      <c r="G4" s="55"/>
      <c r="H4" s="51" t="str">
        <f>IF(ISNUMBER(D4),IF(LEN(D4)&lt;&gt;6,"Ingresar un número de 6 dígitos.",""),IF(D4&lt;&gt;"","El dato no es válido.",""))</f>
        <v/>
      </c>
      <c r="I4" s="138"/>
      <c r="J4" s="3"/>
      <c r="K4" s="3"/>
      <c r="L4" s="3"/>
      <c r="M4" s="3"/>
      <c r="N4" s="3"/>
      <c r="O4" s="3"/>
      <c r="P4" s="3"/>
      <c r="Q4" s="3"/>
      <c r="R4" s="3"/>
      <c r="S4" s="3"/>
      <c r="T4" s="3"/>
      <c r="U4" s="3"/>
      <c r="V4" s="3"/>
      <c r="W4" s="3"/>
      <c r="X4" s="3"/>
      <c r="Y4" s="3"/>
      <c r="Z4" s="3"/>
      <c r="AA4" s="3"/>
      <c r="AB4" s="3"/>
    </row>
    <row r="5" spans="1:28" ht="15" customHeight="1" x14ac:dyDescent="0.25">
      <c r="A5" s="25"/>
      <c r="B5" s="31"/>
      <c r="C5" s="65"/>
      <c r="D5" s="93"/>
      <c r="E5" s="66"/>
      <c r="F5" s="66"/>
      <c r="G5" s="67"/>
      <c r="H5" s="68"/>
      <c r="I5" s="139"/>
      <c r="J5" s="3"/>
      <c r="K5" s="3"/>
      <c r="L5" s="3"/>
      <c r="M5" s="3"/>
      <c r="N5" s="3"/>
      <c r="O5" s="3"/>
      <c r="P5" s="3"/>
      <c r="Q5" s="3"/>
      <c r="R5" s="3"/>
      <c r="S5" s="3"/>
      <c r="T5" s="3"/>
      <c r="U5" s="3"/>
      <c r="V5" s="3"/>
      <c r="W5" s="3"/>
      <c r="X5" s="3"/>
      <c r="Y5" s="3"/>
      <c r="Z5" s="3"/>
      <c r="AA5" s="3"/>
      <c r="AB5" s="3"/>
    </row>
    <row r="6" spans="1:28" ht="15" customHeight="1" x14ac:dyDescent="0.25">
      <c r="A6" s="25"/>
      <c r="B6" s="23"/>
      <c r="C6" s="55"/>
      <c r="D6" s="92"/>
      <c r="E6" s="64"/>
      <c r="F6" s="64"/>
      <c r="G6" s="55"/>
      <c r="H6" s="55"/>
      <c r="I6" s="90"/>
      <c r="J6" s="5"/>
      <c r="K6" s="3"/>
      <c r="L6" s="3"/>
      <c r="M6" s="3"/>
      <c r="N6" s="3"/>
      <c r="O6" s="3"/>
      <c r="P6" s="3"/>
      <c r="Q6" s="3"/>
      <c r="R6" s="3"/>
      <c r="S6" s="3"/>
      <c r="T6" s="3"/>
      <c r="U6" s="3"/>
      <c r="V6" s="3"/>
      <c r="W6" s="3"/>
      <c r="X6" s="3"/>
      <c r="Y6" s="3"/>
      <c r="Z6" s="3"/>
      <c r="AA6" s="3"/>
      <c r="AB6" s="3"/>
    </row>
    <row r="7" spans="1:28" ht="15" customHeight="1" x14ac:dyDescent="0.25">
      <c r="A7" s="25"/>
      <c r="B7" s="87" t="s">
        <v>97</v>
      </c>
      <c r="C7" s="27"/>
      <c r="D7" s="50" t="s">
        <v>1283</v>
      </c>
      <c r="E7" s="88"/>
      <c r="F7" s="88"/>
      <c r="G7" s="89"/>
      <c r="H7" s="69"/>
      <c r="I7" s="137" t="s">
        <v>94</v>
      </c>
      <c r="J7" s="3"/>
      <c r="K7" s="3"/>
      <c r="L7" s="3"/>
      <c r="M7" s="3"/>
      <c r="N7" s="3"/>
      <c r="O7" s="3"/>
      <c r="P7" s="3"/>
      <c r="Q7" s="3"/>
      <c r="R7" s="3"/>
      <c r="S7" s="3"/>
      <c r="T7" s="3"/>
      <c r="U7" s="3"/>
      <c r="V7" s="3"/>
      <c r="W7" s="3"/>
      <c r="X7" s="3"/>
      <c r="Y7" s="3"/>
      <c r="Z7" s="3"/>
      <c r="AA7" s="3"/>
      <c r="AB7" s="3"/>
    </row>
    <row r="8" spans="1:28" ht="15" customHeight="1" x14ac:dyDescent="0.25">
      <c r="A8" s="25"/>
      <c r="B8" s="28" t="s">
        <v>64</v>
      </c>
      <c r="C8" s="61"/>
      <c r="D8" s="47"/>
      <c r="E8" s="64"/>
      <c r="F8" s="64"/>
      <c r="G8" s="55"/>
      <c r="H8" s="51" t="str">
        <f>IF(LEN(D8)&gt;70,"Máximo 70 caracteres.","")</f>
        <v/>
      </c>
      <c r="I8" s="138"/>
      <c r="J8" s="3"/>
      <c r="K8" s="3"/>
      <c r="L8" s="3"/>
      <c r="M8" s="3"/>
      <c r="N8" s="3"/>
      <c r="O8" s="3"/>
      <c r="P8" s="3"/>
      <c r="Q8" s="3"/>
      <c r="R8" s="3"/>
      <c r="S8" s="3"/>
      <c r="T8" s="3"/>
      <c r="U8" s="3"/>
      <c r="V8" s="3"/>
      <c r="W8" s="3"/>
      <c r="X8" s="3"/>
      <c r="Y8" s="3"/>
      <c r="Z8" s="3"/>
      <c r="AA8" s="3"/>
      <c r="AB8" s="3"/>
    </row>
    <row r="9" spans="1:28" ht="15" customHeight="1" x14ac:dyDescent="0.25">
      <c r="A9" s="25"/>
      <c r="B9" s="28" t="s">
        <v>18</v>
      </c>
      <c r="C9" s="61"/>
      <c r="D9" s="47"/>
      <c r="E9" s="64"/>
      <c r="F9" s="64"/>
      <c r="G9" s="55"/>
      <c r="H9" s="51" t="str">
        <f>IF(LEN(D9)&gt;70,"Máximo 70 caracteres.","")</f>
        <v/>
      </c>
      <c r="I9" s="138"/>
      <c r="J9" s="3"/>
      <c r="K9" s="3"/>
      <c r="L9" s="3"/>
      <c r="M9" s="3"/>
      <c r="N9" s="3"/>
      <c r="O9" s="3"/>
      <c r="P9" s="3"/>
      <c r="Q9" s="3"/>
      <c r="R9" s="3"/>
      <c r="S9" s="3"/>
      <c r="T9" s="3"/>
      <c r="U9" s="3"/>
      <c r="V9" s="3"/>
      <c r="W9" s="3"/>
      <c r="X9" s="3"/>
      <c r="Y9" s="3"/>
      <c r="Z9" s="3"/>
      <c r="AA9" s="3"/>
      <c r="AB9" s="3"/>
    </row>
    <row r="10" spans="1:28" ht="15" customHeight="1" x14ac:dyDescent="0.25">
      <c r="A10" s="25"/>
      <c r="B10" s="31"/>
      <c r="C10" s="65"/>
      <c r="D10" s="93"/>
      <c r="E10" s="66"/>
      <c r="F10" s="66"/>
      <c r="G10" s="67"/>
      <c r="H10" s="68"/>
      <c r="I10" s="139"/>
      <c r="J10" s="3"/>
      <c r="K10" s="3"/>
      <c r="L10" s="3"/>
      <c r="M10" s="3"/>
      <c r="N10" s="3"/>
      <c r="O10" s="3"/>
      <c r="P10" s="3"/>
      <c r="Q10" s="3"/>
      <c r="R10" s="3"/>
      <c r="S10" s="3"/>
      <c r="T10" s="3"/>
      <c r="U10" s="3"/>
      <c r="V10" s="3"/>
      <c r="W10" s="3"/>
      <c r="X10" s="3"/>
      <c r="Y10" s="3"/>
      <c r="Z10" s="3"/>
      <c r="AA10" s="3"/>
      <c r="AB10" s="3"/>
    </row>
    <row r="11" spans="1:28" ht="15" customHeight="1" x14ac:dyDescent="0.25">
      <c r="A11" s="30"/>
      <c r="B11" s="23"/>
      <c r="C11" s="55"/>
      <c r="D11" s="92"/>
      <c r="E11" s="64"/>
      <c r="F11" s="64"/>
      <c r="G11" s="55"/>
      <c r="H11" s="51"/>
      <c r="I11" s="70"/>
      <c r="J11" s="3"/>
      <c r="K11" s="3"/>
      <c r="L11" s="3"/>
      <c r="M11" s="3"/>
      <c r="N11" s="3"/>
      <c r="O11" s="3"/>
      <c r="P11" s="3"/>
      <c r="Q11" s="3"/>
      <c r="R11" s="3"/>
      <c r="S11" s="3"/>
      <c r="T11" s="3"/>
      <c r="U11" s="3"/>
      <c r="V11" s="3"/>
      <c r="W11" s="3"/>
      <c r="X11" s="3"/>
      <c r="Y11" s="3"/>
      <c r="Z11" s="3"/>
      <c r="AA11" s="3"/>
      <c r="AB11" s="3"/>
    </row>
    <row r="12" spans="1:28" ht="45" customHeight="1" x14ac:dyDescent="0.25">
      <c r="A12" s="25"/>
      <c r="B12" s="85" t="s">
        <v>11</v>
      </c>
      <c r="C12" s="27"/>
      <c r="D12" s="50" t="s">
        <v>160</v>
      </c>
      <c r="E12" s="57"/>
      <c r="F12" s="78"/>
      <c r="G12" s="78"/>
      <c r="H12" s="69"/>
      <c r="I12" s="137" t="s">
        <v>94</v>
      </c>
      <c r="J12" s="3"/>
      <c r="K12" s="3"/>
      <c r="L12" s="3"/>
      <c r="M12" s="3"/>
      <c r="N12" s="3"/>
      <c r="O12" s="3"/>
      <c r="P12" s="3"/>
      <c r="Q12" s="3"/>
      <c r="R12" s="3"/>
      <c r="S12" s="3"/>
      <c r="T12" s="3"/>
      <c r="U12" s="3"/>
      <c r="V12" s="3"/>
      <c r="W12" s="3"/>
      <c r="X12" s="3"/>
      <c r="Y12" s="3"/>
      <c r="Z12" s="3"/>
      <c r="AA12" s="3"/>
      <c r="AB12" s="3"/>
    </row>
    <row r="13" spans="1:28" x14ac:dyDescent="0.25">
      <c r="A13" s="29"/>
      <c r="B13" s="28" t="s">
        <v>64</v>
      </c>
      <c r="C13" s="61"/>
      <c r="D13" s="47"/>
      <c r="E13" s="64"/>
      <c r="F13" s="64"/>
      <c r="G13" s="55"/>
      <c r="H13" s="51" t="str">
        <f>IF(LEN(D13)&gt;70,"Máximo 70 caracteres.","")</f>
        <v/>
      </c>
      <c r="I13" s="138"/>
      <c r="J13" s="4"/>
      <c r="K13" s="3"/>
      <c r="L13" s="3"/>
      <c r="M13" s="3"/>
      <c r="N13" s="3"/>
      <c r="O13" s="3"/>
      <c r="P13" s="3"/>
      <c r="Q13" s="3"/>
      <c r="R13" s="3"/>
      <c r="S13" s="3"/>
      <c r="T13" s="3"/>
      <c r="U13" s="3"/>
      <c r="V13" s="3"/>
      <c r="W13" s="3"/>
      <c r="X13" s="3"/>
      <c r="Y13" s="3"/>
      <c r="Z13" s="3"/>
      <c r="AA13" s="3"/>
      <c r="AB13" s="3"/>
    </row>
    <row r="14" spans="1:28" x14ac:dyDescent="0.25">
      <c r="A14" s="29"/>
      <c r="B14" s="28" t="s">
        <v>4</v>
      </c>
      <c r="C14" s="61"/>
      <c r="D14" s="47"/>
      <c r="E14" s="64"/>
      <c r="F14" s="64"/>
      <c r="G14" s="55"/>
      <c r="H14" s="51" t="str">
        <f>IF(LEN(D14)&gt;70,"Máximo 70 caracteres.","")</f>
        <v/>
      </c>
      <c r="I14" s="138"/>
      <c r="J14" s="4"/>
      <c r="K14" s="3"/>
      <c r="L14" s="3"/>
      <c r="M14" s="3"/>
      <c r="N14" s="3"/>
      <c r="O14" s="3"/>
      <c r="P14" s="3"/>
      <c r="Q14" s="3"/>
      <c r="R14" s="3"/>
      <c r="S14" s="3"/>
      <c r="T14" s="3"/>
      <c r="U14" s="3"/>
      <c r="V14" s="3"/>
      <c r="W14" s="3"/>
      <c r="X14" s="3"/>
      <c r="Y14" s="3"/>
      <c r="Z14" s="3"/>
      <c r="AA14" s="3"/>
      <c r="AB14" s="3"/>
    </row>
    <row r="15" spans="1:28" x14ac:dyDescent="0.25">
      <c r="A15" s="29"/>
      <c r="B15" s="31"/>
      <c r="C15" s="32"/>
      <c r="D15" s="33"/>
      <c r="E15" s="40"/>
      <c r="F15" s="40"/>
      <c r="G15" s="40"/>
      <c r="H15" s="68"/>
      <c r="I15" s="139"/>
      <c r="J15" s="3"/>
      <c r="K15" s="3"/>
      <c r="L15" s="3"/>
      <c r="M15" s="3"/>
      <c r="N15" s="3"/>
      <c r="O15" s="3"/>
      <c r="P15" s="3"/>
      <c r="Q15" s="3"/>
      <c r="R15" s="3"/>
      <c r="S15" s="3"/>
      <c r="T15" s="3"/>
      <c r="U15" s="3"/>
      <c r="V15" s="3"/>
      <c r="W15" s="3"/>
      <c r="X15" s="3"/>
      <c r="Y15" s="3"/>
      <c r="Z15" s="3"/>
      <c r="AA15" s="3"/>
      <c r="AB15" s="3"/>
    </row>
    <row r="16" spans="1:28" x14ac:dyDescent="0.25">
      <c r="A16" s="29"/>
      <c r="B16" s="23"/>
      <c r="C16" s="23"/>
      <c r="D16" s="23"/>
      <c r="E16" s="23"/>
      <c r="F16" s="23"/>
      <c r="G16" s="23"/>
      <c r="H16" s="51"/>
      <c r="I16" s="30"/>
      <c r="J16" s="3"/>
      <c r="K16" s="3"/>
      <c r="L16" s="3"/>
      <c r="M16" s="3"/>
      <c r="N16" s="3"/>
      <c r="O16" s="3"/>
      <c r="P16" s="3"/>
      <c r="Q16" s="3"/>
      <c r="R16" s="3"/>
      <c r="S16" s="3"/>
      <c r="T16" s="3"/>
      <c r="U16" s="3"/>
      <c r="V16" s="3"/>
      <c r="W16" s="3"/>
      <c r="X16" s="3"/>
      <c r="Y16" s="3"/>
      <c r="Z16" s="3"/>
      <c r="AA16" s="3"/>
      <c r="AB16" s="3"/>
    </row>
    <row r="17" spans="1:28" ht="57.75" customHeight="1" x14ac:dyDescent="0.25">
      <c r="A17" s="29"/>
      <c r="B17" s="85" t="s">
        <v>21</v>
      </c>
      <c r="C17" s="35"/>
      <c r="D17" s="50" t="s">
        <v>159</v>
      </c>
      <c r="E17" s="57"/>
      <c r="F17" s="78"/>
      <c r="G17" s="78"/>
      <c r="H17" s="69"/>
      <c r="I17" s="137" t="s">
        <v>94</v>
      </c>
      <c r="J17" s="3"/>
      <c r="K17" s="3"/>
      <c r="L17" s="3"/>
      <c r="M17" s="3"/>
      <c r="N17" s="3"/>
      <c r="O17" s="3"/>
      <c r="P17" s="3"/>
      <c r="Q17" s="3"/>
      <c r="R17" s="3"/>
      <c r="S17" s="3"/>
      <c r="T17" s="3"/>
      <c r="U17" s="3"/>
      <c r="V17" s="3"/>
      <c r="W17" s="3"/>
      <c r="X17" s="3"/>
      <c r="Y17" s="3"/>
      <c r="Z17" s="3"/>
      <c r="AA17" s="3"/>
      <c r="AB17" s="3"/>
    </row>
    <row r="18" spans="1:28" x14ac:dyDescent="0.25">
      <c r="A18" s="29"/>
      <c r="B18" s="28" t="s">
        <v>64</v>
      </c>
      <c r="C18" s="61"/>
      <c r="D18" s="47"/>
      <c r="E18" s="64"/>
      <c r="F18" s="64"/>
      <c r="G18" s="55"/>
      <c r="H18" s="51" t="str">
        <f>IF(LEN(D18)&gt;70,"Máximo 70 caracteres.","")</f>
        <v/>
      </c>
      <c r="I18" s="144"/>
      <c r="J18" s="3"/>
      <c r="K18" s="3"/>
      <c r="L18" s="3"/>
      <c r="M18" s="3"/>
      <c r="N18" s="3"/>
      <c r="O18" s="3"/>
      <c r="P18" s="3"/>
      <c r="Q18" s="3"/>
      <c r="R18" s="3"/>
      <c r="S18" s="3"/>
      <c r="T18" s="3"/>
      <c r="U18" s="3"/>
      <c r="V18" s="3"/>
      <c r="W18" s="3"/>
      <c r="X18" s="3"/>
      <c r="Y18" s="3"/>
      <c r="Z18" s="3"/>
      <c r="AA18" s="3"/>
      <c r="AB18" s="3"/>
    </row>
    <row r="19" spans="1:28" x14ac:dyDescent="0.25">
      <c r="A19" s="29"/>
      <c r="B19" s="28" t="s">
        <v>4</v>
      </c>
      <c r="C19" s="61"/>
      <c r="D19" s="47"/>
      <c r="E19" s="64"/>
      <c r="F19" s="64"/>
      <c r="G19" s="55"/>
      <c r="H19" s="51" t="str">
        <f>IF(LEN(D19)&gt;70,"Máximo 70 caracteres.","")</f>
        <v/>
      </c>
      <c r="I19" s="144"/>
      <c r="J19" s="3"/>
      <c r="K19" s="3"/>
      <c r="L19" s="3"/>
      <c r="M19" s="3"/>
      <c r="N19" s="3"/>
      <c r="O19" s="3"/>
      <c r="P19" s="3"/>
      <c r="Q19" s="3"/>
      <c r="R19" s="3"/>
      <c r="S19" s="3"/>
      <c r="T19" s="3"/>
      <c r="U19" s="3"/>
      <c r="V19" s="3"/>
      <c r="W19" s="3"/>
      <c r="X19" s="3"/>
      <c r="Y19" s="3"/>
      <c r="Z19" s="3"/>
      <c r="AA19" s="3"/>
      <c r="AB19" s="3"/>
    </row>
    <row r="20" spans="1:28" x14ac:dyDescent="0.25">
      <c r="A20" s="29"/>
      <c r="B20" s="31"/>
      <c r="C20" s="65"/>
      <c r="D20" s="37"/>
      <c r="E20" s="58"/>
      <c r="F20" s="58"/>
      <c r="G20" s="58"/>
      <c r="H20" s="68"/>
      <c r="I20" s="145"/>
      <c r="J20" s="3"/>
      <c r="K20" s="3"/>
      <c r="L20" s="3"/>
      <c r="M20" s="3"/>
      <c r="N20" s="3"/>
      <c r="O20" s="3"/>
      <c r="P20" s="3"/>
      <c r="Q20" s="3"/>
      <c r="R20" s="3"/>
      <c r="S20" s="3"/>
      <c r="T20" s="3"/>
      <c r="U20" s="3"/>
      <c r="V20" s="3"/>
      <c r="W20" s="3"/>
      <c r="X20" s="3"/>
      <c r="Y20" s="3"/>
      <c r="Z20" s="3"/>
      <c r="AA20" s="3"/>
      <c r="AB20" s="3"/>
    </row>
    <row r="21" spans="1:28" x14ac:dyDescent="0.25">
      <c r="A21" s="29"/>
      <c r="B21" s="23"/>
      <c r="C21" s="23"/>
      <c r="D21" s="38"/>
      <c r="E21" s="38"/>
      <c r="F21" s="38"/>
      <c r="G21" s="38"/>
      <c r="H21" s="51"/>
      <c r="I21" s="25"/>
      <c r="J21" s="3"/>
      <c r="K21" s="3"/>
      <c r="L21" s="3"/>
      <c r="M21" s="3"/>
      <c r="N21" s="3"/>
      <c r="O21" s="3"/>
      <c r="P21" s="3"/>
      <c r="Q21" s="3"/>
      <c r="R21" s="3"/>
      <c r="S21" s="3"/>
      <c r="T21" s="3"/>
      <c r="U21" s="3"/>
      <c r="V21" s="3"/>
      <c r="W21" s="3"/>
      <c r="X21" s="3"/>
      <c r="Y21" s="3"/>
      <c r="Z21" s="3"/>
      <c r="AA21" s="3"/>
      <c r="AB21" s="3"/>
    </row>
    <row r="22" spans="1:28" ht="43.5" customHeight="1" x14ac:dyDescent="0.25">
      <c r="A22" s="25"/>
      <c r="B22" s="85" t="str">
        <f>_xlfn.IFNA(prgm!B36,"")</f>
        <v/>
      </c>
      <c r="C22" s="83"/>
      <c r="D22" s="50" t="str">
        <f>_xlfn.IFNA(VLOOKUP(prgm!B3,prgm!A14:C22,3,0),"")</f>
        <v/>
      </c>
      <c r="E22" s="57"/>
      <c r="F22" s="78"/>
      <c r="G22" s="78"/>
      <c r="H22" s="69"/>
      <c r="I22" s="137" t="s">
        <v>94</v>
      </c>
      <c r="J22" s="5"/>
      <c r="K22" s="3"/>
      <c r="L22" s="3"/>
      <c r="M22" s="3"/>
      <c r="N22" s="3"/>
      <c r="O22" s="3"/>
      <c r="P22" s="3"/>
      <c r="Q22" s="3"/>
      <c r="R22" s="3"/>
      <c r="S22" s="3"/>
      <c r="T22" s="3"/>
      <c r="U22" s="3"/>
      <c r="V22" s="3"/>
      <c r="W22" s="3"/>
      <c r="X22" s="3"/>
      <c r="Y22" s="3"/>
      <c r="Z22" s="3"/>
      <c r="AA22" s="3"/>
      <c r="AB22" s="3"/>
    </row>
    <row r="23" spans="1:28" ht="42.75" customHeight="1" x14ac:dyDescent="0.25">
      <c r="A23" s="25" t="e">
        <f>VLOOKUP(prgm!B3,prgm!$A$14:$F$22,5,0)</f>
        <v>#N/A</v>
      </c>
      <c r="B23" s="75" t="str">
        <f>_xlfn.IFNA(IF(VLOOKUP(A23,prgm!$A$39:$B$73,2,0)&lt;&gt;".",VLOOKUP(A23,prgm!$A$39:$B$73,2,0),""),"")</f>
        <v/>
      </c>
      <c r="C23" s="84"/>
      <c r="D23" s="97" t="s">
        <v>1140</v>
      </c>
      <c r="E23" s="64"/>
      <c r="F23" s="64"/>
      <c r="G23" s="55"/>
      <c r="H23" s="51" t="str">
        <f>IF(LEN(D23)&gt;210,"Máximo 210 caracteres.","")</f>
        <v/>
      </c>
      <c r="I23" s="144"/>
      <c r="J23" s="5"/>
      <c r="K23" s="3"/>
      <c r="L23" s="3"/>
      <c r="M23" s="3"/>
      <c r="N23" s="3"/>
      <c r="O23" s="3"/>
      <c r="P23" s="3"/>
      <c r="Q23" s="3"/>
      <c r="R23" s="3"/>
      <c r="S23" s="3"/>
      <c r="T23" s="3"/>
      <c r="U23" s="3"/>
      <c r="V23" s="3"/>
      <c r="W23" s="3"/>
      <c r="X23" s="3"/>
      <c r="Y23" s="3"/>
      <c r="Z23" s="3"/>
      <c r="AA23" s="3"/>
      <c r="AB23" s="3"/>
    </row>
    <row r="24" spans="1:28" x14ac:dyDescent="0.25">
      <c r="A24" s="25" t="e">
        <f>A23+1</f>
        <v>#N/A</v>
      </c>
      <c r="B24" s="75" t="str">
        <f>_xlfn.IFNA(IF(VLOOKUP(A24,prgm!$A$39:$B$73,2,0)&lt;&gt;".",VLOOKUP(A24,prgm!$A$39:$B$73,2,0),""),"")</f>
        <v/>
      </c>
      <c r="C24" s="61"/>
      <c r="D24" s="47"/>
      <c r="E24" s="64"/>
      <c r="F24" s="64"/>
      <c r="G24" s="55"/>
      <c r="H24" s="51" t="str">
        <f t="shared" ref="H24:H28" si="0">IF(LEN(D24)&gt;70,"Máximo 70 caracteres.","")</f>
        <v/>
      </c>
      <c r="I24" s="144"/>
      <c r="J24" s="3"/>
      <c r="K24" s="3"/>
      <c r="L24" s="3"/>
      <c r="M24" s="3"/>
      <c r="N24" s="3"/>
      <c r="O24" s="3"/>
      <c r="P24" s="3"/>
      <c r="Q24" s="3"/>
      <c r="R24" s="3"/>
      <c r="S24" s="3"/>
      <c r="T24" s="3"/>
      <c r="U24" s="3"/>
      <c r="V24" s="3"/>
      <c r="W24" s="3"/>
      <c r="X24" s="3"/>
      <c r="Y24" s="3"/>
      <c r="Z24" s="3"/>
      <c r="AA24" s="3"/>
      <c r="AB24" s="3"/>
    </row>
    <row r="25" spans="1:28" x14ac:dyDescent="0.25">
      <c r="A25" s="25" t="e">
        <f t="shared" ref="A25:A31" si="1">A24+1</f>
        <v>#N/A</v>
      </c>
      <c r="B25" s="75" t="str">
        <f>_xlfn.IFNA(IF(VLOOKUP(A25,prgm!$A$39:$B$73,2,0)&lt;&gt;".",VLOOKUP(A25,prgm!$A$39:$B$73,2,0),""),"")</f>
        <v/>
      </c>
      <c r="C25" s="61"/>
      <c r="D25" s="47"/>
      <c r="E25" s="64"/>
      <c r="F25" s="64"/>
      <c r="G25" s="55"/>
      <c r="H25" s="51" t="str">
        <f t="shared" si="0"/>
        <v/>
      </c>
      <c r="I25" s="144"/>
      <c r="J25" s="3"/>
      <c r="K25" s="3"/>
      <c r="L25" s="3"/>
      <c r="M25" s="3"/>
      <c r="N25" s="3"/>
      <c r="O25" s="3"/>
      <c r="P25" s="3"/>
      <c r="Q25" s="3"/>
      <c r="R25" s="3"/>
      <c r="S25" s="3"/>
      <c r="T25" s="3"/>
      <c r="U25" s="3"/>
      <c r="V25" s="3"/>
      <c r="W25" s="3"/>
      <c r="X25" s="3"/>
      <c r="Y25" s="3"/>
      <c r="Z25" s="3"/>
      <c r="AA25" s="3"/>
      <c r="AB25" s="3"/>
    </row>
    <row r="26" spans="1:28" x14ac:dyDescent="0.25">
      <c r="A26" s="25" t="e">
        <f t="shared" si="1"/>
        <v>#N/A</v>
      </c>
      <c r="B26" s="75" t="str">
        <f>_xlfn.IFNA(IF(VLOOKUP(A26,prgm!$A$39:$B$73,2,0)&lt;&gt;".",VLOOKUP(A26,prgm!$A$39:$B$73,2,0),""),"")</f>
        <v/>
      </c>
      <c r="C26" s="61"/>
      <c r="D26" s="47"/>
      <c r="E26" s="64"/>
      <c r="F26" s="64"/>
      <c r="G26" s="55"/>
      <c r="H26" s="51" t="str">
        <f t="shared" si="0"/>
        <v/>
      </c>
      <c r="I26" s="144"/>
      <c r="J26" s="3"/>
      <c r="K26" s="3"/>
      <c r="L26" s="3"/>
      <c r="M26" s="3"/>
      <c r="N26" s="3"/>
      <c r="O26" s="3"/>
      <c r="P26" s="3"/>
      <c r="Q26" s="3"/>
      <c r="R26" s="3"/>
      <c r="S26" s="3"/>
      <c r="T26" s="3"/>
      <c r="U26" s="3"/>
      <c r="V26" s="3"/>
      <c r="W26" s="3"/>
      <c r="X26" s="3"/>
      <c r="Y26" s="3"/>
      <c r="Z26" s="3"/>
      <c r="AA26" s="3"/>
      <c r="AB26" s="3"/>
    </row>
    <row r="27" spans="1:28" x14ac:dyDescent="0.25">
      <c r="A27" s="25" t="e">
        <f t="shared" si="1"/>
        <v>#N/A</v>
      </c>
      <c r="B27" s="75" t="str">
        <f>_xlfn.IFNA(IF(VLOOKUP(A27,prgm!$A$39:$B$73,2,0)&lt;&gt;".",VLOOKUP(A27,prgm!$A$39:$B$73,2,0),""),"")</f>
        <v/>
      </c>
      <c r="C27" s="61"/>
      <c r="D27" s="47"/>
      <c r="E27" s="64"/>
      <c r="F27" s="64"/>
      <c r="G27" s="55"/>
      <c r="H27" s="51" t="str">
        <f t="shared" si="0"/>
        <v/>
      </c>
      <c r="I27" s="144"/>
      <c r="J27" s="3"/>
      <c r="K27" s="3"/>
      <c r="L27" s="3"/>
      <c r="M27" s="3"/>
      <c r="N27" s="3"/>
      <c r="O27" s="3"/>
      <c r="P27" s="3"/>
      <c r="Q27" s="3"/>
      <c r="R27" s="3"/>
      <c r="S27" s="3"/>
      <c r="T27" s="3"/>
      <c r="U27" s="3"/>
      <c r="V27" s="3"/>
      <c r="W27" s="3"/>
      <c r="X27" s="3"/>
      <c r="Y27" s="3"/>
      <c r="Z27" s="3"/>
      <c r="AA27" s="3"/>
      <c r="AB27" s="3"/>
    </row>
    <row r="28" spans="1:28" x14ac:dyDescent="0.25">
      <c r="A28" s="25" t="e">
        <f t="shared" si="1"/>
        <v>#N/A</v>
      </c>
      <c r="B28" s="75" t="str">
        <f>_xlfn.IFNA(IF(VLOOKUP(A28,prgm!$A$39:$B$73,2,0)&lt;&gt;".",VLOOKUP(A28,prgm!$A$39:$B$73,2,0),""),"")</f>
        <v/>
      </c>
      <c r="C28" s="61"/>
      <c r="D28" s="47"/>
      <c r="E28" s="64"/>
      <c r="F28" s="64"/>
      <c r="G28" s="55"/>
      <c r="H28" s="51" t="str">
        <f t="shared" si="0"/>
        <v/>
      </c>
      <c r="I28" s="144"/>
      <c r="J28" s="3"/>
      <c r="K28" s="3"/>
      <c r="L28" s="3"/>
      <c r="M28" s="3"/>
      <c r="N28" s="3"/>
      <c r="O28" s="3"/>
      <c r="P28" s="3"/>
      <c r="Q28" s="3"/>
      <c r="R28" s="3"/>
      <c r="S28" s="3"/>
      <c r="T28" s="3"/>
      <c r="U28" s="3"/>
      <c r="V28" s="3"/>
      <c r="W28" s="3"/>
      <c r="X28" s="3"/>
      <c r="Y28" s="3"/>
      <c r="Z28" s="3"/>
      <c r="AA28" s="3"/>
      <c r="AB28" s="3"/>
    </row>
    <row r="29" spans="1:28" ht="15" customHeight="1" x14ac:dyDescent="0.25">
      <c r="A29" s="25" t="e">
        <f t="shared" si="1"/>
        <v>#N/A</v>
      </c>
      <c r="B29" s="75" t="str">
        <f>_xlfn.IFNA(IF(VLOOKUP(A29,prgm!$A$39:$B$73,2,0)&lt;&gt;".",VLOOKUP(A29,prgm!$A$39:$B$73,2,0),""),"")</f>
        <v/>
      </c>
      <c r="C29" s="61"/>
      <c r="D29" s="47"/>
      <c r="E29" s="64"/>
      <c r="F29" s="64"/>
      <c r="G29" s="55"/>
      <c r="H29" s="51" t="str">
        <f>IF(AND(LEN(D29)&gt;0,LEN(D29)&lt;&gt;18),"Ingresar 18 caracteres.","")</f>
        <v/>
      </c>
      <c r="I29" s="144"/>
      <c r="J29" s="3"/>
      <c r="K29" s="3"/>
      <c r="L29" s="3"/>
      <c r="M29" s="3"/>
      <c r="N29" s="3"/>
      <c r="O29" s="3"/>
      <c r="P29" s="3"/>
      <c r="Q29" s="3"/>
      <c r="R29" s="3"/>
      <c r="S29" s="3"/>
      <c r="T29" s="3"/>
      <c r="U29" s="3"/>
      <c r="V29" s="3"/>
      <c r="W29" s="3"/>
      <c r="X29" s="3"/>
      <c r="Y29" s="3"/>
      <c r="Z29" s="3"/>
      <c r="AA29" s="3"/>
      <c r="AB29" s="3"/>
    </row>
    <row r="30" spans="1:28" x14ac:dyDescent="0.25">
      <c r="A30" s="25" t="e">
        <f t="shared" si="1"/>
        <v>#N/A</v>
      </c>
      <c r="B30" s="75" t="str">
        <f>_xlfn.IFNA(IF(VLOOKUP(A30,prgm!$A$39:$B$73,2,0)&lt;&gt;".",VLOOKUP(A30,prgm!$A$39:$B$73,2,0),""),"")</f>
        <v/>
      </c>
      <c r="C30" s="61"/>
      <c r="D30" s="47"/>
      <c r="E30" s="64"/>
      <c r="F30" s="64"/>
      <c r="G30" s="55"/>
      <c r="H30" s="51" t="str">
        <f>IF(AND(LEN(D30)&gt;0,LEN(D30)&lt;&gt;10,LEN(D30)&lt;&gt;13),"Ingresar 10 ó 13 caracteres","")</f>
        <v/>
      </c>
      <c r="I30" s="144"/>
      <c r="J30" s="3"/>
      <c r="K30" s="3"/>
      <c r="L30" s="3"/>
      <c r="M30" s="3"/>
      <c r="N30" s="3"/>
      <c r="O30" s="3"/>
      <c r="P30" s="3"/>
      <c r="Q30" s="3"/>
      <c r="R30" s="3"/>
      <c r="S30" s="3"/>
      <c r="T30" s="3"/>
      <c r="U30" s="3"/>
      <c r="V30" s="3"/>
      <c r="W30" s="3"/>
      <c r="X30" s="3"/>
      <c r="Y30" s="3"/>
      <c r="Z30" s="3"/>
      <c r="AA30" s="3"/>
      <c r="AB30" s="3"/>
    </row>
    <row r="31" spans="1:28" x14ac:dyDescent="0.25">
      <c r="A31" s="25" t="e">
        <f t="shared" si="1"/>
        <v>#N/A</v>
      </c>
      <c r="B31" s="75" t="str">
        <f>_xlfn.IFNA(IF(VLOOKUP(A31,prgm!$A$39:$B$73,2,0)&lt;&gt;".",VLOOKUP(A31,prgm!$A$39:$B$73,2,0),""),"")</f>
        <v/>
      </c>
      <c r="C31" s="61"/>
      <c r="D31" s="47"/>
      <c r="E31" s="64"/>
      <c r="F31" s="64"/>
      <c r="G31" s="55"/>
      <c r="H31" s="51" t="str">
        <f>IF(LEN(D31)&gt;70,"Máximo 70 caracteres.","")</f>
        <v/>
      </c>
      <c r="I31" s="144"/>
      <c r="J31" s="3"/>
      <c r="K31" s="3"/>
      <c r="L31" s="3"/>
      <c r="M31" s="3"/>
      <c r="N31" s="3"/>
      <c r="O31" s="3"/>
      <c r="P31" s="3"/>
      <c r="Q31" s="3"/>
      <c r="R31" s="3"/>
      <c r="S31" s="3"/>
      <c r="T31" s="3"/>
      <c r="U31" s="3"/>
      <c r="V31" s="3"/>
      <c r="W31" s="3"/>
      <c r="X31" s="3"/>
      <c r="Y31" s="3"/>
      <c r="Z31" s="3"/>
      <c r="AA31" s="3"/>
      <c r="AB31" s="3"/>
    </row>
    <row r="32" spans="1:28" x14ac:dyDescent="0.25">
      <c r="A32" s="25"/>
      <c r="B32" s="91"/>
      <c r="C32" s="32"/>
      <c r="D32" s="33"/>
      <c r="E32" s="40"/>
      <c r="F32" s="40"/>
      <c r="G32" s="40"/>
      <c r="H32" s="34"/>
      <c r="I32" s="145"/>
      <c r="J32" s="3"/>
      <c r="K32" s="3"/>
      <c r="L32" s="3"/>
      <c r="M32" s="3"/>
      <c r="N32" s="3"/>
      <c r="O32" s="3"/>
      <c r="P32" s="3"/>
      <c r="Q32" s="3"/>
      <c r="R32" s="3"/>
      <c r="S32" s="3"/>
      <c r="T32" s="3"/>
      <c r="U32" s="3"/>
      <c r="V32" s="3"/>
      <c r="W32" s="3"/>
      <c r="X32" s="3"/>
      <c r="Y32" s="3"/>
      <c r="Z32" s="3"/>
      <c r="AA32" s="3"/>
      <c r="AB32" s="3"/>
    </row>
    <row r="33" spans="1:28" ht="15" customHeight="1" x14ac:dyDescent="0.25">
      <c r="A33" s="25"/>
      <c r="B33" s="25"/>
      <c r="C33" s="23"/>
      <c r="D33" s="23"/>
      <c r="E33" s="23"/>
      <c r="F33" s="23"/>
      <c r="G33" s="23"/>
      <c r="H33" s="23"/>
      <c r="I33" s="25"/>
      <c r="J33" s="3"/>
      <c r="K33" s="3"/>
      <c r="L33" s="3"/>
      <c r="M33" s="3"/>
      <c r="N33" s="3"/>
      <c r="O33" s="3"/>
      <c r="P33" s="3"/>
      <c r="Q33" s="3"/>
      <c r="R33" s="3"/>
      <c r="S33" s="3"/>
      <c r="T33" s="3"/>
      <c r="U33" s="3"/>
      <c r="V33" s="3"/>
      <c r="W33" s="3"/>
      <c r="X33" s="3"/>
      <c r="Y33" s="3"/>
      <c r="Z33" s="3"/>
      <c r="AA33" s="3"/>
      <c r="AB33" s="3"/>
    </row>
    <row r="34" spans="1:28" ht="24.75" customHeight="1" x14ac:dyDescent="0.25">
      <c r="A34" s="25"/>
      <c r="B34" s="85" t="s">
        <v>23</v>
      </c>
      <c r="C34" s="39"/>
      <c r="D34" s="50" t="str">
        <f>_xlfn.IFNA(prgm!B78,"")</f>
        <v/>
      </c>
      <c r="E34" s="57"/>
      <c r="F34" s="78"/>
      <c r="G34" s="78"/>
      <c r="H34" s="36"/>
      <c r="I34" s="137" t="s">
        <v>94</v>
      </c>
      <c r="J34" s="3"/>
      <c r="K34" s="3"/>
      <c r="L34" s="3"/>
      <c r="M34" s="3"/>
      <c r="N34" s="3"/>
      <c r="O34" s="3"/>
      <c r="P34" s="3"/>
      <c r="Q34" s="3"/>
      <c r="R34" s="3"/>
      <c r="S34" s="3"/>
      <c r="T34" s="3"/>
      <c r="U34" s="3"/>
      <c r="V34" s="3"/>
      <c r="W34" s="3"/>
      <c r="X34" s="3"/>
      <c r="Y34" s="3"/>
      <c r="Z34" s="3"/>
      <c r="AA34" s="3"/>
      <c r="AB34" s="3"/>
    </row>
    <row r="35" spans="1:28" ht="15" customHeight="1" x14ac:dyDescent="0.25">
      <c r="A35" s="25" t="e">
        <f>VLOOKUP(prgm!B3,prgm!$A$14:$G$22,6,0)</f>
        <v>#N/A</v>
      </c>
      <c r="B35" s="28" t="str">
        <f>_xlfn.IFNA(VLOOKUP(A35,prgm!$A$81:$B$94,2,0),"")</f>
        <v/>
      </c>
      <c r="C35" s="61"/>
      <c r="D35" s="49"/>
      <c r="E35" s="94"/>
      <c r="F35" s="64"/>
      <c r="G35" s="55"/>
      <c r="H35" s="51" t="str">
        <f>IF(OR(AND($B$35&lt;&gt;"",LEN($D$35)&gt;0,LEN($D$35)&lt;&gt;5),AND($B$35&lt;&gt;"",LEN($D$35)&gt;0,IF(ISNUMBER($D$35),0,1))),"El dato no es válido.","")</f>
        <v/>
      </c>
      <c r="I35" s="144"/>
      <c r="J35" s="3"/>
      <c r="K35" s="3"/>
      <c r="L35" s="3"/>
      <c r="M35" s="3"/>
      <c r="N35" s="3"/>
      <c r="O35" s="3"/>
      <c r="P35" s="3"/>
      <c r="Q35" s="3"/>
      <c r="R35" s="3"/>
      <c r="S35" s="3"/>
      <c r="T35" s="3"/>
      <c r="U35" s="3"/>
      <c r="V35" s="3"/>
      <c r="W35" s="3"/>
      <c r="X35" s="3"/>
      <c r="Y35" s="3"/>
      <c r="Z35" s="3"/>
      <c r="AA35" s="3"/>
      <c r="AB35" s="3"/>
    </row>
    <row r="36" spans="1:28" x14ac:dyDescent="0.25">
      <c r="A36" s="25" t="e">
        <f t="shared" ref="A36:A39" si="2">A35+1</f>
        <v>#N/A</v>
      </c>
      <c r="B36" s="28" t="str">
        <f>_xlfn.IFNA(VLOOKUP(A36,prgm!$A$81:$B$94,2,0),"")</f>
        <v/>
      </c>
      <c r="C36" s="61"/>
      <c r="D36" s="49"/>
      <c r="E36" s="94"/>
      <c r="F36" s="64"/>
      <c r="G36" s="55"/>
      <c r="H36" s="51" t="str">
        <f>IF(OR(AND($B$36&lt;&gt;"",LEN($D$36)&gt;0,LEN($D$36)&lt;&gt;5),AND($B$36&lt;&gt;"",LEN($D$36)&gt;0,IF(ISNUMBER($D$36),0,1))),"El dato no es válido.","")</f>
        <v/>
      </c>
      <c r="I36" s="144"/>
      <c r="J36" s="3"/>
      <c r="K36" s="3"/>
      <c r="L36" s="3"/>
      <c r="M36" s="3"/>
      <c r="N36" s="3"/>
      <c r="O36" s="3"/>
      <c r="P36" s="3"/>
      <c r="Q36" s="3"/>
      <c r="R36" s="3"/>
      <c r="S36" s="3"/>
      <c r="T36" s="3"/>
      <c r="U36" s="3"/>
      <c r="V36" s="3"/>
      <c r="W36" s="3"/>
      <c r="X36" s="3"/>
      <c r="Y36" s="3"/>
      <c r="Z36" s="3"/>
      <c r="AA36" s="3"/>
      <c r="AB36" s="3"/>
    </row>
    <row r="37" spans="1:28" x14ac:dyDescent="0.25">
      <c r="A37" s="25" t="e">
        <f t="shared" si="2"/>
        <v>#N/A</v>
      </c>
      <c r="B37" s="28" t="str">
        <f>_xlfn.IFNA(VLOOKUP(A37,prgm!$A$81:$B$94,2,0),"")</f>
        <v/>
      </c>
      <c r="C37" s="61"/>
      <c r="D37" s="47"/>
      <c r="E37" s="64"/>
      <c r="F37" s="64"/>
      <c r="G37" s="55"/>
      <c r="H37" s="51" t="str">
        <f>IF(LEN(D37)&gt;70,"Máximo 70 caracteres.","")</f>
        <v/>
      </c>
      <c r="I37" s="144"/>
      <c r="J37" s="3"/>
      <c r="K37" s="3"/>
      <c r="L37" s="3"/>
      <c r="M37" s="3"/>
      <c r="N37" s="3"/>
      <c r="O37" s="3"/>
      <c r="P37" s="3"/>
      <c r="Q37" s="3"/>
      <c r="R37" s="3"/>
      <c r="S37" s="3"/>
      <c r="T37" s="3"/>
      <c r="U37" s="3"/>
      <c r="V37" s="3"/>
      <c r="W37" s="3"/>
      <c r="X37" s="3"/>
      <c r="Y37" s="3"/>
      <c r="Z37" s="3"/>
      <c r="AA37" s="3"/>
      <c r="AB37" s="3"/>
    </row>
    <row r="38" spans="1:28" x14ac:dyDescent="0.25">
      <c r="A38" s="25" t="e">
        <f t="shared" si="2"/>
        <v>#N/A</v>
      </c>
      <c r="B38" s="28" t="str">
        <f>_xlfn.IFNA(VLOOKUP(A38,prgm!$A$81:$B$94,2,0),"")</f>
        <v/>
      </c>
      <c r="C38" s="61"/>
      <c r="D38" s="47"/>
      <c r="E38" s="64"/>
      <c r="F38" s="64"/>
      <c r="G38" s="55"/>
      <c r="H38" s="51" t="str">
        <f>IF(LEN(D38)&gt;70,"Máximo 70 caracteres.","")</f>
        <v/>
      </c>
      <c r="I38" s="144"/>
      <c r="J38" s="3"/>
      <c r="K38" s="3"/>
      <c r="L38" s="3"/>
      <c r="M38" s="3"/>
      <c r="N38" s="3"/>
      <c r="O38" s="3"/>
      <c r="P38" s="3"/>
      <c r="Q38" s="3"/>
      <c r="R38" s="3"/>
      <c r="S38" s="3"/>
      <c r="T38" s="3"/>
      <c r="U38" s="3"/>
      <c r="V38" s="3"/>
      <c r="W38" s="3"/>
      <c r="X38" s="3"/>
      <c r="Y38" s="3"/>
      <c r="Z38" s="3"/>
      <c r="AA38" s="3"/>
      <c r="AB38" s="3"/>
    </row>
    <row r="39" spans="1:28" x14ac:dyDescent="0.25">
      <c r="A39" s="25" t="e">
        <f t="shared" si="2"/>
        <v>#N/A</v>
      </c>
      <c r="B39" s="28" t="str">
        <f>_xlfn.IFNA(VLOOKUP(A39,prgm!$A$81:$B$94,2,0),"")</f>
        <v/>
      </c>
      <c r="C39" s="61"/>
      <c r="D39" s="47"/>
      <c r="E39" s="64"/>
      <c r="F39" s="64"/>
      <c r="G39" s="55"/>
      <c r="H39" s="51" t="str">
        <f>IF(LEN(D39)&gt;70,"Máximo 70 caracteres.","")</f>
        <v/>
      </c>
      <c r="I39" s="144"/>
      <c r="J39" s="3"/>
      <c r="K39" s="3"/>
      <c r="L39" s="3"/>
      <c r="M39" s="3"/>
      <c r="N39" s="3"/>
      <c r="O39" s="3"/>
      <c r="P39" s="3"/>
      <c r="Q39" s="3"/>
      <c r="R39" s="3"/>
      <c r="S39" s="3"/>
      <c r="T39" s="3"/>
      <c r="U39" s="3"/>
      <c r="V39" s="3"/>
      <c r="W39" s="3"/>
      <c r="X39" s="3"/>
      <c r="Y39" s="3"/>
      <c r="Z39" s="3"/>
      <c r="AA39" s="3"/>
      <c r="AB39" s="3"/>
    </row>
    <row r="40" spans="1:28" x14ac:dyDescent="0.25">
      <c r="A40" s="25"/>
      <c r="B40" s="31"/>
      <c r="C40" s="40"/>
      <c r="D40" s="41"/>
      <c r="E40" s="59"/>
      <c r="F40" s="59"/>
      <c r="G40" s="59"/>
      <c r="H40" s="34"/>
      <c r="I40" s="145"/>
      <c r="J40" s="3"/>
      <c r="K40" s="3"/>
      <c r="L40" s="3"/>
      <c r="M40" s="3"/>
      <c r="N40" s="3"/>
      <c r="O40" s="3"/>
      <c r="P40" s="3"/>
      <c r="Q40" s="3"/>
      <c r="R40" s="3"/>
      <c r="S40" s="3"/>
      <c r="T40" s="3"/>
      <c r="U40" s="3"/>
      <c r="V40" s="3"/>
      <c r="W40" s="3"/>
      <c r="X40" s="3"/>
      <c r="Y40" s="3"/>
      <c r="Z40" s="3"/>
      <c r="AA40" s="3"/>
      <c r="AB40" s="3"/>
    </row>
    <row r="41" spans="1:28" x14ac:dyDescent="0.25">
      <c r="A41" s="25"/>
      <c r="B41" s="62"/>
      <c r="C41" s="62"/>
      <c r="D41" s="62"/>
      <c r="E41" s="63"/>
      <c r="F41" s="63"/>
      <c r="G41" s="63"/>
      <c r="H41" s="46"/>
      <c r="I41" s="25"/>
      <c r="J41" s="3"/>
      <c r="K41" s="3"/>
      <c r="L41" s="3"/>
      <c r="M41" s="3"/>
      <c r="N41" s="3"/>
      <c r="O41" s="3"/>
      <c r="P41" s="3"/>
      <c r="Q41" s="3"/>
      <c r="R41" s="3"/>
      <c r="S41" s="3"/>
      <c r="T41" s="3"/>
      <c r="U41" s="3"/>
      <c r="V41" s="3"/>
      <c r="W41" s="3"/>
      <c r="X41" s="3"/>
      <c r="Y41" s="3"/>
      <c r="Z41" s="3"/>
      <c r="AA41" s="3"/>
      <c r="AB41" s="3"/>
    </row>
    <row r="42" spans="1:28" ht="37.5" customHeight="1" x14ac:dyDescent="0.25">
      <c r="A42" s="25"/>
      <c r="B42" s="135" t="s">
        <v>156</v>
      </c>
      <c r="C42" s="140" t="s">
        <v>1252</v>
      </c>
      <c r="D42" s="141"/>
      <c r="E42" s="95"/>
      <c r="F42" s="79"/>
      <c r="G42" s="80"/>
      <c r="H42" s="60" t="str">
        <f>IF(OR(LEN(D43)&gt;500,LEN(D43)-LEN(SUBSTITUTE(D43,CHAR(10),""))+1&gt;5),"Máximo 500 caracteres y 5 líneas","")</f>
        <v/>
      </c>
      <c r="I42" s="96" t="s">
        <v>88</v>
      </c>
      <c r="J42" s="3"/>
      <c r="K42" s="3"/>
      <c r="L42" s="3"/>
      <c r="M42" s="3"/>
      <c r="N42" s="3"/>
      <c r="O42" s="3"/>
      <c r="P42" s="3"/>
      <c r="Q42" s="3"/>
      <c r="R42" s="3"/>
      <c r="S42" s="3"/>
      <c r="T42" s="3"/>
      <c r="U42" s="3"/>
      <c r="V42" s="3"/>
      <c r="W42" s="3"/>
      <c r="X42" s="3"/>
      <c r="Y42" s="3"/>
      <c r="Z42" s="3"/>
      <c r="AA42" s="3"/>
      <c r="AB42" s="3"/>
    </row>
    <row r="43" spans="1:28" ht="142.5" customHeight="1" x14ac:dyDescent="0.25">
      <c r="A43" s="25"/>
      <c r="B43" s="136"/>
      <c r="C43" s="56"/>
      <c r="D43" s="142"/>
      <c r="E43" s="142"/>
      <c r="F43" s="142"/>
      <c r="G43" s="142"/>
      <c r="H43" s="143"/>
      <c r="I43" s="86" t="s">
        <v>94</v>
      </c>
      <c r="J43" s="3"/>
      <c r="K43" s="3"/>
      <c r="L43" s="3"/>
      <c r="M43" s="3"/>
      <c r="N43" s="3"/>
      <c r="O43" s="3"/>
      <c r="P43" s="3"/>
      <c r="Q43" s="3"/>
      <c r="R43" s="3"/>
      <c r="S43" s="3"/>
      <c r="T43" s="3"/>
      <c r="U43" s="3"/>
      <c r="V43" s="3"/>
      <c r="W43" s="3"/>
      <c r="X43" s="3"/>
      <c r="Y43" s="3"/>
      <c r="Z43" s="3"/>
      <c r="AA43" s="3"/>
      <c r="AB43" s="3"/>
    </row>
    <row r="44" spans="1:28" x14ac:dyDescent="0.25">
      <c r="A44" s="25"/>
      <c r="B44" s="42"/>
      <c r="C44" s="42"/>
      <c r="D44" s="42"/>
      <c r="E44" s="42"/>
      <c r="F44" s="42"/>
      <c r="G44" s="42"/>
      <c r="H44" s="43"/>
      <c r="I44" s="25"/>
      <c r="J44" s="3"/>
      <c r="K44" s="3"/>
      <c r="L44" s="3"/>
      <c r="M44" s="3"/>
      <c r="N44" s="3"/>
      <c r="O44" s="3"/>
      <c r="P44" s="3"/>
      <c r="Q44" s="3"/>
      <c r="R44" s="3"/>
      <c r="S44" s="3"/>
      <c r="T44" s="3"/>
      <c r="U44" s="3"/>
      <c r="V44" s="3"/>
      <c r="W44" s="3"/>
      <c r="X44" s="3"/>
      <c r="Y44" s="3"/>
      <c r="Z44" s="3"/>
      <c r="AA44" s="3"/>
      <c r="AB44" s="3"/>
    </row>
    <row r="45" spans="1:28" x14ac:dyDescent="0.25">
      <c r="A45" s="25"/>
      <c r="B45" s="42"/>
      <c r="C45" s="42"/>
      <c r="D45" s="42"/>
      <c r="E45" s="42"/>
      <c r="F45" s="42"/>
      <c r="G45" s="42"/>
      <c r="H45" s="43"/>
      <c r="I45" s="25"/>
      <c r="J45" s="3"/>
      <c r="K45" s="3"/>
      <c r="L45" s="3"/>
      <c r="M45" s="3"/>
      <c r="N45" s="3"/>
      <c r="O45" s="3"/>
      <c r="P45" s="3"/>
      <c r="Q45" s="3"/>
      <c r="R45" s="3"/>
      <c r="S45" s="3"/>
      <c r="T45" s="3"/>
      <c r="U45" s="3"/>
      <c r="V45" s="3"/>
      <c r="W45" s="3"/>
      <c r="X45" s="3"/>
      <c r="Y45" s="3"/>
      <c r="Z45" s="3"/>
      <c r="AA45" s="3"/>
      <c r="AB45" s="3"/>
    </row>
    <row r="46" spans="1:28" x14ac:dyDescent="0.25">
      <c r="A46" s="25"/>
      <c r="B46" s="42"/>
      <c r="C46" s="42"/>
      <c r="D46" s="42"/>
      <c r="E46" s="42"/>
      <c r="F46" s="42"/>
      <c r="G46" s="42"/>
      <c r="H46" s="43"/>
      <c r="I46" s="25"/>
      <c r="J46" s="3"/>
      <c r="K46" s="3"/>
      <c r="L46" s="3"/>
      <c r="M46" s="3"/>
      <c r="N46" s="3"/>
      <c r="O46" s="3"/>
      <c r="P46" s="3"/>
      <c r="Q46" s="3"/>
      <c r="R46" s="3"/>
      <c r="S46" s="3"/>
      <c r="T46" s="3"/>
      <c r="U46" s="3"/>
      <c r="V46" s="3"/>
      <c r="W46" s="3"/>
      <c r="X46" s="3"/>
      <c r="Y46" s="3"/>
      <c r="Z46" s="3"/>
      <c r="AA46" s="3"/>
      <c r="AB46" s="3"/>
    </row>
    <row r="47" spans="1:28" x14ac:dyDescent="0.25">
      <c r="A47" s="25"/>
      <c r="B47" s="42"/>
      <c r="C47" s="42"/>
      <c r="D47" s="42"/>
      <c r="E47" s="42"/>
      <c r="F47" s="42"/>
      <c r="G47" s="42"/>
      <c r="H47" s="43"/>
      <c r="I47" s="25"/>
      <c r="J47" s="3"/>
      <c r="K47" s="3"/>
      <c r="L47" s="3"/>
      <c r="M47" s="3"/>
      <c r="N47" s="3"/>
      <c r="O47" s="3"/>
      <c r="P47" s="3"/>
      <c r="Q47" s="3"/>
      <c r="R47" s="3"/>
      <c r="S47" s="3"/>
      <c r="T47" s="3"/>
      <c r="U47" s="3"/>
      <c r="V47" s="3"/>
      <c r="W47" s="3"/>
      <c r="X47" s="3"/>
      <c r="Y47" s="3"/>
      <c r="Z47" s="3"/>
      <c r="AA47" s="3"/>
      <c r="AB47" s="3"/>
    </row>
    <row r="48" spans="1:28" x14ac:dyDescent="0.25">
      <c r="A48" s="25"/>
      <c r="B48" s="42"/>
      <c r="C48" s="42"/>
      <c r="D48" s="42"/>
      <c r="E48" s="42"/>
      <c r="F48" s="42"/>
      <c r="G48" s="42"/>
      <c r="H48" s="43"/>
      <c r="I48" s="25"/>
      <c r="J48" s="3"/>
      <c r="K48" s="3"/>
      <c r="L48" s="3"/>
      <c r="M48" s="3"/>
      <c r="N48" s="3"/>
      <c r="O48" s="3"/>
      <c r="P48" s="3"/>
      <c r="Q48" s="3"/>
      <c r="R48" s="3"/>
      <c r="S48" s="3"/>
      <c r="T48" s="3"/>
      <c r="U48" s="3"/>
      <c r="V48" s="3"/>
      <c r="W48" s="3"/>
      <c r="X48" s="3"/>
      <c r="Y48" s="3"/>
      <c r="Z48" s="3"/>
      <c r="AA48" s="3"/>
      <c r="AB48" s="3"/>
    </row>
    <row r="49" spans="1:28" x14ac:dyDescent="0.25">
      <c r="A49" s="25"/>
      <c r="B49" s="44"/>
      <c r="C49" s="44"/>
      <c r="D49" s="44"/>
      <c r="E49" s="44"/>
      <c r="F49" s="44"/>
      <c r="G49" s="44"/>
      <c r="H49" s="44"/>
      <c r="I49" s="25"/>
      <c r="J49" s="3"/>
      <c r="K49" s="3"/>
      <c r="L49" s="3"/>
      <c r="M49" s="3"/>
      <c r="N49" s="3"/>
      <c r="O49" s="3"/>
      <c r="P49" s="3"/>
      <c r="Q49" s="3"/>
      <c r="R49" s="3"/>
      <c r="S49" s="3"/>
      <c r="T49" s="3"/>
      <c r="U49" s="3"/>
      <c r="V49" s="3"/>
      <c r="W49" s="3"/>
      <c r="X49" s="3"/>
      <c r="Y49" s="3"/>
      <c r="Z49" s="3"/>
      <c r="AA49" s="3"/>
      <c r="AB49" s="3"/>
    </row>
    <row r="50" spans="1:28" x14ac:dyDescent="0.25">
      <c r="A50" s="25"/>
      <c r="B50" s="44"/>
      <c r="C50" s="44"/>
      <c r="D50" s="44"/>
      <c r="E50" s="44"/>
      <c r="F50" s="44"/>
      <c r="G50" s="44"/>
      <c r="H50" s="44"/>
      <c r="I50" s="25"/>
      <c r="J50" s="3"/>
      <c r="K50" s="3"/>
      <c r="L50" s="3"/>
      <c r="M50" s="3"/>
      <c r="N50" s="3"/>
      <c r="O50" s="3"/>
      <c r="P50" s="3"/>
      <c r="Q50" s="3"/>
      <c r="R50" s="3"/>
      <c r="S50" s="3"/>
      <c r="T50" s="3"/>
      <c r="U50" s="3"/>
      <c r="V50" s="3"/>
      <c r="W50" s="3"/>
      <c r="X50" s="3"/>
      <c r="Y50" s="3"/>
      <c r="Z50" s="3"/>
      <c r="AA50" s="3"/>
      <c r="AB50" s="3"/>
    </row>
    <row r="51" spans="1:28" x14ac:dyDescent="0.25">
      <c r="A51" s="25"/>
      <c r="B51" s="44"/>
      <c r="C51" s="44"/>
      <c r="D51" s="44"/>
      <c r="E51" s="44"/>
      <c r="F51" s="44"/>
      <c r="G51" s="44"/>
      <c r="H51" s="44"/>
      <c r="I51" s="25"/>
      <c r="J51" s="3"/>
      <c r="K51" s="3"/>
      <c r="L51" s="3"/>
      <c r="M51" s="3"/>
      <c r="N51" s="3"/>
      <c r="O51" s="3"/>
      <c r="P51" s="3"/>
      <c r="Q51" s="3"/>
      <c r="R51" s="3"/>
      <c r="S51" s="3"/>
      <c r="T51" s="3"/>
      <c r="U51" s="3"/>
      <c r="V51" s="3"/>
      <c r="W51" s="3"/>
      <c r="X51" s="3"/>
      <c r="Y51" s="3"/>
      <c r="Z51" s="3"/>
      <c r="AA51" s="3"/>
      <c r="AB51" s="3"/>
    </row>
    <row r="52" spans="1:28" x14ac:dyDescent="0.25">
      <c r="A52" s="25"/>
      <c r="B52" s="44"/>
      <c r="C52" s="44"/>
      <c r="D52" s="44"/>
      <c r="E52" s="44"/>
      <c r="F52" s="44"/>
      <c r="G52" s="44"/>
      <c r="H52" s="44"/>
      <c r="I52" s="25"/>
      <c r="J52" s="3"/>
      <c r="K52" s="3"/>
      <c r="L52" s="3"/>
      <c r="M52" s="3"/>
      <c r="N52" s="3"/>
      <c r="O52" s="3"/>
      <c r="P52" s="3"/>
      <c r="Q52" s="3"/>
      <c r="R52" s="3"/>
      <c r="S52" s="3"/>
      <c r="T52" s="3"/>
      <c r="U52" s="3"/>
      <c r="V52" s="3"/>
      <c r="W52" s="3"/>
      <c r="X52" s="3"/>
      <c r="Y52" s="3"/>
      <c r="Z52" s="3"/>
      <c r="AA52" s="3"/>
      <c r="AB52" s="3"/>
    </row>
    <row r="53" spans="1:28" x14ac:dyDescent="0.25">
      <c r="A53" s="25"/>
      <c r="B53" s="44"/>
      <c r="C53" s="44"/>
      <c r="D53" s="44"/>
      <c r="E53" s="44"/>
      <c r="F53" s="44"/>
      <c r="G53" s="44"/>
      <c r="H53" s="44"/>
      <c r="I53" s="25"/>
      <c r="J53" s="3"/>
      <c r="K53" s="3"/>
      <c r="L53" s="3"/>
      <c r="M53" s="3"/>
      <c r="N53" s="3"/>
      <c r="O53" s="3"/>
      <c r="P53" s="3"/>
      <c r="Q53" s="3"/>
      <c r="R53" s="3"/>
      <c r="S53" s="3"/>
      <c r="T53" s="3"/>
      <c r="U53" s="3"/>
      <c r="V53" s="3"/>
      <c r="W53" s="3"/>
      <c r="X53" s="3"/>
      <c r="Y53" s="3"/>
      <c r="Z53" s="3"/>
      <c r="AA53" s="3"/>
      <c r="AB53" s="3"/>
    </row>
    <row r="54" spans="1:28" x14ac:dyDescent="0.25">
      <c r="A54" s="25"/>
      <c r="B54" s="44"/>
      <c r="C54" s="44"/>
      <c r="D54" s="44"/>
      <c r="E54" s="44"/>
      <c r="F54" s="44"/>
      <c r="G54" s="44"/>
      <c r="H54" s="44"/>
      <c r="I54" s="25"/>
      <c r="J54" s="3"/>
      <c r="K54" s="3"/>
      <c r="L54" s="3"/>
      <c r="M54" s="3"/>
      <c r="N54" s="3"/>
      <c r="O54" s="3"/>
      <c r="P54" s="3"/>
      <c r="Q54" s="3"/>
      <c r="R54" s="3"/>
      <c r="S54" s="3"/>
      <c r="T54" s="3"/>
      <c r="U54" s="3"/>
      <c r="V54" s="3"/>
      <c r="W54" s="3"/>
      <c r="X54" s="3"/>
      <c r="Y54" s="3"/>
      <c r="Z54" s="3"/>
      <c r="AA54" s="3"/>
      <c r="AB54" s="3"/>
    </row>
    <row r="55" spans="1:28" x14ac:dyDescent="0.25">
      <c r="A55" s="25"/>
      <c r="B55" s="25"/>
      <c r="C55" s="25"/>
      <c r="D55" s="25"/>
      <c r="E55" s="25"/>
      <c r="F55" s="25"/>
      <c r="G55" s="25"/>
      <c r="H55" s="25"/>
      <c r="I55" s="25"/>
      <c r="J55" s="3"/>
      <c r="K55" s="3"/>
      <c r="L55" s="3"/>
      <c r="M55" s="3"/>
      <c r="N55" s="3"/>
      <c r="O55" s="3"/>
      <c r="P55" s="3"/>
      <c r="Q55" s="3"/>
      <c r="R55" s="3"/>
      <c r="S55" s="3"/>
      <c r="T55" s="3"/>
      <c r="U55" s="3"/>
      <c r="V55" s="3"/>
      <c r="W55" s="3"/>
      <c r="X55" s="3"/>
      <c r="Y55" s="3"/>
      <c r="Z55" s="3"/>
      <c r="AA55" s="3"/>
      <c r="AB55" s="3"/>
    </row>
    <row r="56" spans="1:28" x14ac:dyDescent="0.25">
      <c r="A56" s="25"/>
      <c r="B56" s="25"/>
      <c r="C56" s="25"/>
      <c r="D56" s="25"/>
      <c r="E56" s="25"/>
      <c r="F56" s="25"/>
      <c r="G56" s="25"/>
      <c r="H56" s="25"/>
      <c r="I56" s="25"/>
      <c r="J56" s="3"/>
      <c r="K56" s="3"/>
      <c r="L56" s="3"/>
      <c r="M56" s="3"/>
      <c r="N56" s="3"/>
      <c r="O56" s="3"/>
      <c r="P56" s="3"/>
      <c r="Q56" s="3"/>
      <c r="R56" s="3"/>
      <c r="S56" s="3"/>
      <c r="T56" s="3"/>
      <c r="U56" s="3"/>
      <c r="V56" s="3"/>
      <c r="W56" s="3"/>
      <c r="X56" s="3"/>
      <c r="Y56" s="3"/>
      <c r="Z56" s="3"/>
      <c r="AA56" s="3"/>
      <c r="AB56" s="3"/>
    </row>
    <row r="57" spans="1:28" x14ac:dyDescent="0.25">
      <c r="A57" s="25"/>
      <c r="B57" s="25"/>
      <c r="C57" s="25"/>
      <c r="D57" s="25"/>
      <c r="E57" s="25"/>
      <c r="F57" s="25"/>
      <c r="G57" s="25"/>
      <c r="H57" s="25"/>
      <c r="I57" s="25"/>
      <c r="J57" s="3"/>
      <c r="K57" s="3"/>
      <c r="L57" s="3"/>
      <c r="M57" s="3"/>
      <c r="N57" s="3"/>
      <c r="O57" s="3"/>
      <c r="P57" s="3"/>
      <c r="Q57" s="3"/>
      <c r="R57" s="3"/>
      <c r="S57" s="3"/>
      <c r="T57" s="3"/>
      <c r="U57" s="3"/>
      <c r="V57" s="3"/>
      <c r="W57" s="3"/>
      <c r="X57" s="3"/>
      <c r="Y57" s="3"/>
      <c r="Z57" s="3"/>
      <c r="AA57" s="3"/>
      <c r="AB57" s="3"/>
    </row>
    <row r="58" spans="1:28" x14ac:dyDescent="0.2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row>
    <row r="59" spans="1:28" x14ac:dyDescent="0.2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row>
    <row r="60" spans="1:28" x14ac:dyDescent="0.2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row>
    <row r="61" spans="1:28" x14ac:dyDescent="0.2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row>
    <row r="62" spans="1:28" x14ac:dyDescent="0.2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row>
    <row r="63" spans="1:28" x14ac:dyDescent="0.2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row>
    <row r="64" spans="1:28" x14ac:dyDescent="0.2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row>
    <row r="65" spans="1:28"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row>
    <row r="66" spans="1:28" x14ac:dyDescent="0.25">
      <c r="A66" s="3"/>
      <c r="D66" s="3"/>
      <c r="E66" s="3"/>
      <c r="F66" s="3"/>
      <c r="G66" s="3"/>
      <c r="H66" s="3"/>
      <c r="I66" s="3"/>
      <c r="J66" s="3"/>
      <c r="K66" s="3"/>
      <c r="L66" s="3"/>
      <c r="M66" s="3"/>
      <c r="N66" s="3"/>
      <c r="O66" s="3"/>
      <c r="P66" s="3"/>
      <c r="Q66" s="3"/>
      <c r="R66" s="3"/>
      <c r="S66" s="3"/>
      <c r="T66" s="3"/>
      <c r="U66" s="3"/>
      <c r="V66" s="3"/>
      <c r="W66" s="3"/>
      <c r="X66" s="3"/>
      <c r="Y66" s="3"/>
      <c r="Z66" s="3"/>
      <c r="AA66" s="3"/>
      <c r="AB66" s="3"/>
    </row>
    <row r="67" spans="1:28"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row>
    <row r="68" spans="1:28"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row>
    <row r="69" spans="1:28"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row>
    <row r="70" spans="1:28"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row>
    <row r="71" spans="1:28" x14ac:dyDescent="0.2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row>
    <row r="72" spans="1:28" x14ac:dyDescent="0.2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row>
    <row r="73" spans="1:28" x14ac:dyDescent="0.2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row>
    <row r="74" spans="1:28"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row>
    <row r="75" spans="1:28" x14ac:dyDescent="0.2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row>
    <row r="76" spans="1:28"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row>
    <row r="77" spans="1:28"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row>
    <row r="78" spans="1:28"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row>
    <row r="79" spans="1:28"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row>
    <row r="80" spans="1:28"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row>
    <row r="81" spans="1:28" x14ac:dyDescent="0.2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row>
    <row r="82" spans="1:28"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row>
    <row r="83" spans="1:28"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row>
    <row r="84" spans="1:28" x14ac:dyDescent="0.2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row>
    <row r="85" spans="1:28" x14ac:dyDescent="0.2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row>
    <row r="86" spans="1:28" x14ac:dyDescent="0.2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row>
    <row r="87" spans="1:28" x14ac:dyDescent="0.2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row>
    <row r="88" spans="1:28"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row>
    <row r="89" spans="1:28" x14ac:dyDescent="0.2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row>
    <row r="90" spans="1:28" x14ac:dyDescent="0.2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row>
    <row r="91" spans="1:28" x14ac:dyDescent="0.2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row>
    <row r="92" spans="1:28" x14ac:dyDescent="0.2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row>
    <row r="93" spans="1:28" x14ac:dyDescent="0.2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row>
    <row r="94" spans="1:28" x14ac:dyDescent="0.2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row>
    <row r="95" spans="1:28"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row>
    <row r="96" spans="1:28"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row>
    <row r="97" spans="1:28"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row>
    <row r="98" spans="1:28"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row>
    <row r="99" spans="1:28"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row>
    <row r="100" spans="1:28"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row>
    <row r="101" spans="1:28"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row>
    <row r="102" spans="1:28"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row>
    <row r="103" spans="1:28"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row>
    <row r="104" spans="1:28" x14ac:dyDescent="0.25">
      <c r="A104" s="3"/>
      <c r="B104" s="3"/>
      <c r="C104" s="3"/>
      <c r="D104" s="3"/>
      <c r="E104" s="3"/>
      <c r="F104" s="3"/>
      <c r="G104" s="3"/>
      <c r="H104" s="3"/>
      <c r="I104" s="3"/>
      <c r="J104" s="3"/>
      <c r="K104" s="3"/>
      <c r="L104" s="3"/>
      <c r="M104" s="3"/>
      <c r="N104" s="3"/>
      <c r="O104" s="3"/>
      <c r="P104" s="3"/>
      <c r="Q104" s="3"/>
      <c r="R104" s="3"/>
    </row>
    <row r="105" spans="1:28" x14ac:dyDescent="0.25">
      <c r="A105" s="3"/>
      <c r="B105" s="3"/>
      <c r="C105" s="3"/>
      <c r="D105" s="3"/>
      <c r="E105" s="3"/>
      <c r="F105" s="3"/>
      <c r="G105" s="3"/>
      <c r="H105" s="3"/>
      <c r="I105" s="3"/>
      <c r="J105" s="3"/>
      <c r="K105" s="3"/>
      <c r="L105" s="3"/>
      <c r="M105" s="3"/>
      <c r="N105" s="3"/>
      <c r="O105" s="3"/>
      <c r="P105" s="3"/>
      <c r="Q105" s="3"/>
      <c r="R105" s="3"/>
    </row>
    <row r="106" spans="1:28" x14ac:dyDescent="0.25">
      <c r="A106" s="3"/>
      <c r="B106" s="3"/>
      <c r="C106" s="3"/>
      <c r="D106" s="3"/>
      <c r="E106" s="3"/>
      <c r="F106" s="3"/>
      <c r="G106" s="3"/>
      <c r="H106" s="3"/>
      <c r="I106" s="3"/>
      <c r="J106" s="3"/>
      <c r="K106" s="3"/>
      <c r="L106" s="3"/>
      <c r="M106" s="3"/>
      <c r="N106" s="3"/>
      <c r="O106" s="3"/>
      <c r="P106" s="3"/>
      <c r="Q106" s="3"/>
      <c r="R106" s="3"/>
    </row>
    <row r="107" spans="1:28" x14ac:dyDescent="0.25">
      <c r="A107" s="3"/>
      <c r="B107" s="3"/>
      <c r="C107" s="3"/>
      <c r="D107" s="3"/>
      <c r="E107" s="3"/>
      <c r="F107" s="3"/>
      <c r="G107" s="3"/>
      <c r="H107" s="3"/>
      <c r="I107" s="3"/>
      <c r="J107" s="3"/>
      <c r="K107" s="3"/>
      <c r="L107" s="3"/>
      <c r="M107" s="3"/>
      <c r="N107" s="3"/>
      <c r="O107" s="3"/>
      <c r="P107" s="3"/>
      <c r="Q107" s="3"/>
      <c r="R107" s="3"/>
    </row>
    <row r="108" spans="1:28" x14ac:dyDescent="0.25">
      <c r="A108" s="3"/>
      <c r="B108" s="3"/>
      <c r="C108" s="3"/>
      <c r="D108" s="3"/>
      <c r="E108" s="3"/>
      <c r="F108" s="3"/>
      <c r="G108" s="3"/>
      <c r="H108" s="3"/>
      <c r="I108" s="3"/>
      <c r="J108" s="3"/>
      <c r="K108" s="3"/>
      <c r="L108" s="3"/>
      <c r="M108" s="3"/>
      <c r="N108" s="3"/>
      <c r="O108" s="3"/>
      <c r="P108" s="3"/>
      <c r="Q108" s="3"/>
      <c r="R108" s="3"/>
    </row>
    <row r="109" spans="1:28" x14ac:dyDescent="0.25">
      <c r="A109" s="3"/>
      <c r="B109" s="3"/>
      <c r="C109" s="3"/>
      <c r="D109" s="3"/>
      <c r="E109" s="3"/>
      <c r="F109" s="3"/>
      <c r="G109" s="3"/>
      <c r="H109" s="3"/>
      <c r="I109" s="3"/>
      <c r="J109" s="3"/>
      <c r="K109" s="3"/>
      <c r="L109" s="3"/>
      <c r="M109" s="3"/>
      <c r="N109" s="3"/>
      <c r="O109" s="3"/>
      <c r="P109" s="3"/>
      <c r="Q109" s="3"/>
      <c r="R109" s="3"/>
    </row>
    <row r="110" spans="1:28" x14ac:dyDescent="0.25">
      <c r="A110" s="3"/>
      <c r="B110" s="3"/>
      <c r="C110" s="3"/>
      <c r="D110" s="3"/>
      <c r="E110" s="3"/>
      <c r="F110" s="3"/>
      <c r="G110" s="3"/>
      <c r="H110" s="3"/>
      <c r="I110" s="3"/>
      <c r="J110" s="3"/>
      <c r="K110" s="3"/>
      <c r="L110" s="3"/>
      <c r="M110" s="3"/>
      <c r="N110" s="3"/>
      <c r="O110" s="3"/>
      <c r="P110" s="3"/>
      <c r="Q110" s="3"/>
      <c r="R110" s="3"/>
    </row>
    <row r="111" spans="1:28" x14ac:dyDescent="0.25">
      <c r="A111" s="3"/>
      <c r="B111" s="3"/>
      <c r="C111" s="3"/>
      <c r="D111" s="3"/>
      <c r="E111" s="3"/>
      <c r="F111" s="3"/>
      <c r="G111" s="3"/>
      <c r="H111" s="3"/>
      <c r="I111" s="3"/>
      <c r="J111" s="3"/>
      <c r="K111" s="3"/>
      <c r="L111" s="3"/>
      <c r="M111" s="3"/>
      <c r="N111" s="3"/>
      <c r="O111" s="3"/>
      <c r="P111" s="3"/>
      <c r="Q111" s="3"/>
      <c r="R111" s="3"/>
    </row>
    <row r="112" spans="1:28" x14ac:dyDescent="0.25">
      <c r="A112" s="3"/>
      <c r="B112" s="3"/>
      <c r="C112" s="3"/>
      <c r="D112" s="3"/>
      <c r="E112" s="3"/>
      <c r="F112" s="3"/>
      <c r="G112" s="3"/>
      <c r="H112" s="3"/>
      <c r="I112" s="3"/>
      <c r="J112" s="3"/>
      <c r="K112" s="3"/>
      <c r="L112" s="3"/>
      <c r="M112" s="3"/>
      <c r="N112" s="3"/>
      <c r="O112" s="3"/>
      <c r="P112" s="3"/>
      <c r="Q112" s="3"/>
      <c r="R112" s="3"/>
    </row>
  </sheetData>
  <sheetProtection algorithmName="SHA-512" hashValue="pIxdxHVxNn+NsQUV4i0O8q7jl8F+Ju17x+zjHuvxslwt5Wu89EFN9ZBYeYsizsUITI/Bn6l6HH1RYYs8o7PnQQ==" saltValue="vU0KzAR0e8AFGNxPXpiwiw==" spinCount="100000" sheet="1" objects="1" scenarios="1" selectLockedCells="1"/>
  <mergeCells count="9">
    <mergeCell ref="B42:B43"/>
    <mergeCell ref="I3:I5"/>
    <mergeCell ref="I7:I10"/>
    <mergeCell ref="C42:D42"/>
    <mergeCell ref="D43:H43"/>
    <mergeCell ref="I12:I15"/>
    <mergeCell ref="I17:I20"/>
    <mergeCell ref="I22:I32"/>
    <mergeCell ref="I34:I40"/>
  </mergeCells>
  <conditionalFormatting sqref="G29">
    <cfRule type="expression" dxfId="43" priority="109">
      <formula>AND(LEN($D$29)&gt;0,LEN($D$29)&lt;&gt;18)</formula>
    </cfRule>
  </conditionalFormatting>
  <conditionalFormatting sqref="G30">
    <cfRule type="expression" dxfId="42" priority="108">
      <formula>AND(LEN(D$30)&gt;0,LEN(D$30)&lt;&gt;10,LEN(D$30)&lt;&gt;13)</formula>
    </cfRule>
  </conditionalFormatting>
  <conditionalFormatting sqref="G35">
    <cfRule type="expression" dxfId="41" priority="102">
      <formula>OR(AND($B$35&lt;&gt;"",LEN($D$35)&gt;0,LEN($D$35)&lt;&gt;5),AND($B$35&lt;&gt;"",LEN($D$35)&gt;0,IF(ISNUMBER($D$35),0,1)))</formula>
    </cfRule>
  </conditionalFormatting>
  <conditionalFormatting sqref="G36">
    <cfRule type="expression" dxfId="40" priority="101">
      <formula>OR(AND($B$36&lt;&gt;"",LEN($D$36)&gt;0,LEN($D$36)&lt;&gt;5),AND($B$36&lt;&gt;"",LEN($D$36)&gt;0,IF(ISNUMBER($D$36),0,1)))</formula>
    </cfRule>
  </conditionalFormatting>
  <conditionalFormatting sqref="G42">
    <cfRule type="expression" dxfId="39" priority="94">
      <formula>OR(LEN($D$43)&gt;500,LEN($D$43)-LEN(SUBSTITUTE($D$43,CHAR(10),""))+1&gt;5)</formula>
    </cfRule>
  </conditionalFormatting>
  <conditionalFormatting sqref="G4">
    <cfRule type="expression" dxfId="38" priority="122">
      <formula>IF(ISNUMBER($D$4),IF(LEN($D$4)&lt;&gt;6,TRUE,FALSE),IF($D$4&lt;&gt;"",TRUE,FALSE))</formula>
    </cfRule>
  </conditionalFormatting>
  <conditionalFormatting sqref="F4">
    <cfRule type="expression" dxfId="37" priority="74">
      <formula>$D$4=""</formula>
    </cfRule>
  </conditionalFormatting>
  <conditionalFormatting sqref="F13">
    <cfRule type="expression" dxfId="36" priority="33">
      <formula>$D$13=""</formula>
    </cfRule>
  </conditionalFormatting>
  <conditionalFormatting sqref="F14">
    <cfRule type="expression" dxfId="35" priority="32">
      <formula>$D$14=""</formula>
    </cfRule>
  </conditionalFormatting>
  <conditionalFormatting sqref="F18">
    <cfRule type="expression" dxfId="34" priority="30">
      <formula>$D$18=""</formula>
    </cfRule>
  </conditionalFormatting>
  <conditionalFormatting sqref="F19">
    <cfRule type="expression" dxfId="33" priority="29">
      <formula>$D$19=""</formula>
    </cfRule>
  </conditionalFormatting>
  <conditionalFormatting sqref="F23">
    <cfRule type="expression" dxfId="32" priority="24">
      <formula>AND($B$23&lt;&gt;"",$D$23="Seleccionar una opción.")</formula>
    </cfRule>
  </conditionalFormatting>
  <conditionalFormatting sqref="F24">
    <cfRule type="expression" dxfId="31" priority="23">
      <formula>AND($B$24&lt;&gt;"",$D$24="")</formula>
    </cfRule>
  </conditionalFormatting>
  <conditionalFormatting sqref="F25">
    <cfRule type="expression" dxfId="30" priority="22">
      <formula>AND($B$25&lt;&gt;"",$D$25="")</formula>
    </cfRule>
  </conditionalFormatting>
  <conditionalFormatting sqref="F26">
    <cfRule type="expression" dxfId="29" priority="21">
      <formula>AND($B$26&lt;&gt;"",$D$26="")</formula>
    </cfRule>
  </conditionalFormatting>
  <conditionalFormatting sqref="F27">
    <cfRule type="expression" dxfId="28" priority="20">
      <formula>AND($B$27&lt;&gt;"",$D$27="")</formula>
    </cfRule>
  </conditionalFormatting>
  <conditionalFormatting sqref="F28">
    <cfRule type="expression" dxfId="27" priority="19">
      <formula>AND($B$28&lt;&gt;"",$D$28="")</formula>
    </cfRule>
  </conditionalFormatting>
  <conditionalFormatting sqref="F29">
    <cfRule type="expression" dxfId="26" priority="18">
      <formula>AND($B$29&lt;&gt;"",$D$29="")</formula>
    </cfRule>
  </conditionalFormatting>
  <conditionalFormatting sqref="F30">
    <cfRule type="expression" dxfId="25" priority="17">
      <formula>AND($B$30&lt;&gt;"",$D$30="")</formula>
    </cfRule>
  </conditionalFormatting>
  <conditionalFormatting sqref="F31">
    <cfRule type="expression" dxfId="24" priority="16">
      <formula>AND($B$31&lt;&gt;"",$D$31="")</formula>
    </cfRule>
  </conditionalFormatting>
  <conditionalFormatting sqref="F35">
    <cfRule type="expression" dxfId="23" priority="15">
      <formula>AND($B$35&lt;&gt;"",$D$35="")</formula>
    </cfRule>
  </conditionalFormatting>
  <conditionalFormatting sqref="F42">
    <cfRule type="expression" dxfId="22" priority="10">
      <formula>$D$43=""</formula>
    </cfRule>
  </conditionalFormatting>
  <conditionalFormatting sqref="F36">
    <cfRule type="expression" dxfId="21" priority="9">
      <formula>AND($B$36&lt;&gt;"",$D$36="")</formula>
    </cfRule>
  </conditionalFormatting>
  <conditionalFormatting sqref="F37">
    <cfRule type="expression" dxfId="20" priority="8">
      <formula>AND($B$37&lt;&gt;"",$D$37="")</formula>
    </cfRule>
  </conditionalFormatting>
  <conditionalFormatting sqref="F38">
    <cfRule type="expression" dxfId="19" priority="7">
      <formula>AND($B$38&lt;&gt;"",$D$38="")</formula>
    </cfRule>
  </conditionalFormatting>
  <conditionalFormatting sqref="F39">
    <cfRule type="expression" dxfId="18" priority="6">
      <formula>AND($B$39&lt;&gt;"",$D$39="")</formula>
    </cfRule>
  </conditionalFormatting>
  <conditionalFormatting sqref="F8">
    <cfRule type="expression" dxfId="17" priority="5">
      <formula>$D$8=""</formula>
    </cfRule>
  </conditionalFormatting>
  <conditionalFormatting sqref="F9">
    <cfRule type="expression" dxfId="16" priority="4">
      <formula>$D$9=""</formula>
    </cfRule>
  </conditionalFormatting>
  <conditionalFormatting sqref="G13">
    <cfRule type="expression" dxfId="15" priority="121">
      <formula>AND(LEN($D$13)&gt;0,LEN($D$13)&gt;70)</formula>
    </cfRule>
  </conditionalFormatting>
  <conditionalFormatting sqref="G14">
    <cfRule type="expression" dxfId="14" priority="89">
      <formula>AND(LEN($D$14)&gt;0,LEN($D$14)&gt;70)</formula>
    </cfRule>
  </conditionalFormatting>
  <conditionalFormatting sqref="G18">
    <cfRule type="expression" dxfId="13" priority="87">
      <formula>AND(LEN($D$18)&gt;0,LEN($D$18)&gt;70)</formula>
    </cfRule>
  </conditionalFormatting>
  <conditionalFormatting sqref="G19">
    <cfRule type="expression" dxfId="12" priority="86">
      <formula>AND(LEN($D$19)&gt;0,LEN($D$19)&gt;70)</formula>
    </cfRule>
  </conditionalFormatting>
  <conditionalFormatting sqref="G23">
    <cfRule type="expression" dxfId="11" priority="85">
      <formula>AND(LEN($D$23)&gt;0,LEN($D$23)&gt;210)</formula>
    </cfRule>
  </conditionalFormatting>
  <conditionalFormatting sqref="G24">
    <cfRule type="expression" dxfId="10" priority="84">
      <formula>AND(LEN($D$24)&gt;0,LEN($D$24)&gt;70)</formula>
    </cfRule>
  </conditionalFormatting>
  <conditionalFormatting sqref="G25">
    <cfRule type="expression" dxfId="9" priority="83">
      <formula>AND(LEN($D$25)&gt;0,LEN($D$25)&gt;70)</formula>
    </cfRule>
  </conditionalFormatting>
  <conditionalFormatting sqref="G26">
    <cfRule type="expression" dxfId="8" priority="82">
      <formula>AND(LEN($D$26)&gt;0,LEN($D$26)&gt;70)</formula>
    </cfRule>
  </conditionalFormatting>
  <conditionalFormatting sqref="G27">
    <cfRule type="expression" dxfId="7" priority="81">
      <formula>AND(LEN($D$27)&gt;0,LEN($D$27)&gt;70)</formula>
    </cfRule>
  </conditionalFormatting>
  <conditionalFormatting sqref="G28">
    <cfRule type="expression" dxfId="6" priority="80">
      <formula>AND(LEN($D$28)&gt;0,LEN($D$28)&gt;70)</formula>
    </cfRule>
  </conditionalFormatting>
  <conditionalFormatting sqref="G31">
    <cfRule type="expression" dxfId="5" priority="79">
      <formula>AND(LEN($D$31)&gt;0,LEN($D$31)&gt;80)</formula>
    </cfRule>
  </conditionalFormatting>
  <conditionalFormatting sqref="G37">
    <cfRule type="expression" dxfId="4" priority="78">
      <formula>AND(LEN($D$37)&gt;0,LEN($D$37)&gt;70)</formula>
    </cfRule>
  </conditionalFormatting>
  <conditionalFormatting sqref="G38">
    <cfRule type="expression" dxfId="3" priority="77">
      <formula>AND(LEN($D$38)&gt;0,LEN($D$38)&gt;70)</formula>
    </cfRule>
  </conditionalFormatting>
  <conditionalFormatting sqref="G39">
    <cfRule type="expression" dxfId="2" priority="76">
      <formula>AND(LEN($D$39)&gt;0,LEN($D$39)&gt;70)</formula>
    </cfRule>
  </conditionalFormatting>
  <conditionalFormatting sqref="G8">
    <cfRule type="expression" dxfId="1" priority="2">
      <formula>AND(LEN($D$8)&gt;0,LEN($D$8)&gt;70)</formula>
    </cfRule>
  </conditionalFormatting>
  <conditionalFormatting sqref="G9">
    <cfRule type="expression" dxfId="0" priority="1">
      <formula>AND(LEN($D$9)&gt;0,LEN($D$9)&gt;70)</formula>
    </cfRule>
  </conditionalFormatting>
  <dataValidations count="3">
    <dataValidation allowBlank="1" showInputMessage="1" showErrorMessage="1" errorTitle="Error" sqref="D18:F19 F35:F39 D24:E31 D13:F14 D37:E39 F23:F31 F42 D8:D11 E4:F11 D4:D6"/>
    <dataValidation allowBlank="1" showInputMessage="1" showErrorMessage="1" error="Máximo 70 caracteres." sqref="D32:G33 D16:G16 D40:G40"/>
    <dataValidation allowBlank="1" showInputMessage="1" showErrorMessage="1" error="Debe ingresar un número de 6 dígitos mayor a 500,00" sqref="H4:H28"/>
  </dataValidations>
  <printOptions horizontalCentered="1"/>
  <pageMargins left="0" right="0" top="0.51041666666666696"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prgm!$A$14:$A$22</xm:f>
          </x14:formula1>
          <xm:sqref>D1</xm:sqref>
        </x14:dataValidation>
        <x14:dataValidation type="list" allowBlank="1" showInputMessage="1" showErrorMessage="1">
          <x14:formula1>
            <xm:f>prgm!$A$114:$A$126</xm:f>
          </x14:formula1>
          <xm:sqref>C42</xm:sqref>
        </x14:dataValidation>
        <x14:dataValidation type="list" allowBlank="1" showInputMessage="1" showErrorMessage="1" errorTitle="Error">
          <x14:formula1>
            <xm:f>prgm!$A$131:$A$164</xm:f>
          </x14:formula1>
          <xm:sqref>E23</xm:sqref>
        </x14:dataValidation>
        <x14:dataValidation type="list" allowBlank="1" showInputMessage="1" showErrorMessage="1" errorTitle="Error">
          <x14:formula1>
            <xm:f>prgm!$A$130:$A$437</xm:f>
          </x14:formula1>
          <xm:sqref>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5"/>
  <sheetViews>
    <sheetView zoomScale="96" zoomScaleNormal="96" workbookViewId="0">
      <selection activeCell="B1" sqref="B1:B2"/>
    </sheetView>
  </sheetViews>
  <sheetFormatPr defaultRowHeight="15" x14ac:dyDescent="0.25"/>
  <cols>
    <col min="1" max="1" width="1.5703125" customWidth="1"/>
    <col min="2" max="4" width="33.28515625" customWidth="1"/>
    <col min="5" max="5" width="4.7109375" customWidth="1"/>
    <col min="6" max="6" width="5.28515625" customWidth="1"/>
    <col min="7" max="7" width="5.5703125" customWidth="1"/>
  </cols>
  <sheetData>
    <row r="1" spans="1:7" ht="46.5" customHeight="1" x14ac:dyDescent="0.25">
      <c r="B1" s="148"/>
      <c r="C1" s="104" t="s">
        <v>165</v>
      </c>
      <c r="D1" s="105" t="s">
        <v>1258</v>
      </c>
      <c r="E1" s="3"/>
      <c r="F1" s="3"/>
      <c r="G1" s="3"/>
    </row>
    <row r="2" spans="1:7" ht="15.75" customHeight="1" x14ac:dyDescent="0.25">
      <c r="B2" s="149"/>
      <c r="C2" s="146" t="s">
        <v>166</v>
      </c>
      <c r="D2" s="147"/>
      <c r="E2" s="3"/>
      <c r="F2" s="3"/>
      <c r="G2" s="3"/>
    </row>
    <row r="3" spans="1:7" ht="12.95" customHeight="1" x14ac:dyDescent="0.3">
      <c r="A3" s="3"/>
      <c r="B3" s="161" t="s">
        <v>29</v>
      </c>
      <c r="C3" s="161"/>
      <c r="D3" s="161"/>
      <c r="E3" s="8"/>
      <c r="F3" s="5"/>
      <c r="G3" s="3"/>
    </row>
    <row r="4" spans="1:7" ht="12.95" customHeight="1" x14ac:dyDescent="0.3">
      <c r="A4" s="3"/>
      <c r="B4" s="109" t="s">
        <v>0</v>
      </c>
      <c r="C4" s="157">
        <f ca="1">prgm!B5</f>
        <v>45954</v>
      </c>
      <c r="D4" s="158"/>
      <c r="E4" s="5"/>
      <c r="F4" s="20"/>
      <c r="G4" s="3"/>
    </row>
    <row r="5" spans="1:7" ht="12.95" customHeight="1" x14ac:dyDescent="0.3">
      <c r="A5" s="3"/>
      <c r="B5" s="110" t="s">
        <v>30</v>
      </c>
      <c r="C5" s="155" t="str">
        <f>prgm!B3</f>
        <v>Seleccionar el tipo de movimiento.</v>
      </c>
      <c r="D5" s="156"/>
      <c r="E5" s="6"/>
      <c r="F5" s="5"/>
      <c r="G5" s="3"/>
    </row>
    <row r="6" spans="1:7" ht="12.95" customHeight="1" x14ac:dyDescent="0.3">
      <c r="A6" s="3"/>
      <c r="B6" s="110" t="s">
        <v>148</v>
      </c>
      <c r="C6" s="155" t="str">
        <f>prgm!B25</f>
        <v/>
      </c>
      <c r="D6" s="156"/>
      <c r="E6" s="6"/>
      <c r="F6" s="5"/>
      <c r="G6" s="3"/>
    </row>
    <row r="7" spans="1:7" ht="12.95" customHeight="1" x14ac:dyDescent="0.3">
      <c r="A7" s="3"/>
      <c r="B7" s="110" t="s">
        <v>93</v>
      </c>
      <c r="C7" s="155" t="str">
        <f>prgm!B26</f>
        <v/>
      </c>
      <c r="D7" s="156"/>
      <c r="E7" s="6"/>
      <c r="F7" s="5"/>
      <c r="G7" s="3"/>
    </row>
    <row r="8" spans="1:7" ht="12.95" customHeight="1" x14ac:dyDescent="0.3">
      <c r="A8" s="3"/>
      <c r="B8" s="111" t="s">
        <v>92</v>
      </c>
      <c r="C8" s="153">
        <f>prgm!B27</f>
        <v>0</v>
      </c>
      <c r="D8" s="154"/>
      <c r="E8" s="6"/>
      <c r="F8" s="5"/>
      <c r="G8" s="3"/>
    </row>
    <row r="9" spans="1:7" ht="12.95" customHeight="1" x14ac:dyDescent="0.3">
      <c r="A9" s="3"/>
      <c r="B9" s="165" t="s">
        <v>11</v>
      </c>
      <c r="C9" s="161"/>
      <c r="D9" s="161"/>
      <c r="E9" s="99"/>
      <c r="F9" s="3"/>
      <c r="G9" s="3"/>
    </row>
    <row r="10" spans="1:7" ht="12.95" customHeight="1" x14ac:dyDescent="0.3">
      <c r="A10" s="3"/>
      <c r="B10" s="112" t="s">
        <v>64</v>
      </c>
      <c r="C10" s="166" t="str">
        <f>prgm!B28</f>
        <v/>
      </c>
      <c r="D10" s="167"/>
      <c r="E10" s="20"/>
      <c r="F10" s="3"/>
      <c r="G10" s="4"/>
    </row>
    <row r="11" spans="1:7" ht="12.95" customHeight="1" x14ac:dyDescent="0.3">
      <c r="A11" s="3"/>
      <c r="B11" s="113" t="s">
        <v>4</v>
      </c>
      <c r="C11" s="151" t="str">
        <f>prgm!B29</f>
        <v/>
      </c>
      <c r="D11" s="152"/>
      <c r="E11" s="20"/>
      <c r="F11" s="4"/>
      <c r="G11" s="4"/>
    </row>
    <row r="12" spans="1:7" ht="12.95" customHeight="1" x14ac:dyDescent="0.3">
      <c r="A12" s="3"/>
      <c r="B12" s="163" t="s">
        <v>21</v>
      </c>
      <c r="C12" s="164"/>
      <c r="D12" s="164"/>
      <c r="E12" s="20"/>
      <c r="F12" s="3"/>
      <c r="G12" s="3"/>
    </row>
    <row r="13" spans="1:7" ht="12.95" customHeight="1" x14ac:dyDescent="0.3">
      <c r="A13" s="3"/>
      <c r="B13" s="109" t="s">
        <v>64</v>
      </c>
      <c r="C13" s="168" t="str">
        <f>prgm!B33</f>
        <v/>
      </c>
      <c r="D13" s="167"/>
      <c r="E13" s="20"/>
      <c r="F13" s="3"/>
      <c r="G13" s="3"/>
    </row>
    <row r="14" spans="1:7" ht="12.95" customHeight="1" x14ac:dyDescent="0.3">
      <c r="A14" s="3"/>
      <c r="B14" s="114" t="s">
        <v>4</v>
      </c>
      <c r="C14" s="169" t="str">
        <f>prgm!B34</f>
        <v/>
      </c>
      <c r="D14" s="152"/>
      <c r="E14" s="20"/>
      <c r="F14" s="3"/>
      <c r="G14" s="3"/>
    </row>
    <row r="15" spans="1:7" ht="12.95" customHeight="1" x14ac:dyDescent="0.3">
      <c r="A15" s="3"/>
      <c r="B15" s="162" t="e">
        <f>prgm!B36</f>
        <v>#N/A</v>
      </c>
      <c r="C15" s="162"/>
      <c r="D15" s="162"/>
      <c r="E15" s="99"/>
      <c r="F15" s="3"/>
      <c r="G15" s="3"/>
    </row>
    <row r="16" spans="1:7" ht="12.95" customHeight="1" x14ac:dyDescent="0.3">
      <c r="A16" s="3" t="e">
        <f>VLOOKUP(prgm!B3,prgm!$A$14:$F$22,5,0)</f>
        <v>#N/A</v>
      </c>
      <c r="B16" s="112" t="str">
        <f>_xlfn.IFNA(IF(VLOOKUP(A16,prgm!$A$39:$E$76,4,0)&lt;&gt;".",VLOOKUP(A16,prgm!$A$39:$E$76,4,0),""),"")</f>
        <v/>
      </c>
      <c r="C16" s="166" t="str">
        <f>_xlfn.IFNA(IF(VLOOKUP(A16,prgm!$A$39:$E$76,5,0)&lt;&gt;".",VLOOKUP(A16,prgm!$A$39:$E$76,5,0),""),"")</f>
        <v/>
      </c>
      <c r="D16" s="167"/>
      <c r="E16" s="20"/>
      <c r="F16" s="3"/>
      <c r="G16" s="3"/>
    </row>
    <row r="17" spans="1:7" ht="12.95" customHeight="1" x14ac:dyDescent="0.3">
      <c r="A17" s="3" t="e">
        <f>A16+1</f>
        <v>#N/A</v>
      </c>
      <c r="B17" s="113" t="str">
        <f>_xlfn.IFNA(IF(VLOOKUP(A17,prgm!$A$39:$E$76,4,0)&lt;&gt;".",VLOOKUP(A17,prgm!$A$39:$E$76,4,0),""),"")</f>
        <v/>
      </c>
      <c r="C17" s="159" t="str">
        <f>_xlfn.IFNA(IF(VLOOKUP(A17,prgm!$A$39:$E$76,5,0)&lt;&gt;".",VLOOKUP(A17,prgm!$A$39:$E$76,5,0),""),"")</f>
        <v/>
      </c>
      <c r="D17" s="160"/>
      <c r="E17" s="20"/>
      <c r="F17" s="3"/>
      <c r="G17" s="3"/>
    </row>
    <row r="18" spans="1:7" ht="12.95" customHeight="1" x14ac:dyDescent="0.3">
      <c r="A18" s="3" t="e">
        <f t="shared" ref="A18:A27" si="0">A17+1</f>
        <v>#N/A</v>
      </c>
      <c r="B18" s="113" t="str">
        <f>_xlfn.IFNA(IF(VLOOKUP(A18,prgm!$A$39:$E$76,4,0)&lt;&gt;".",VLOOKUP(A18,prgm!$A$39:$E$76,4,0),""),"")</f>
        <v/>
      </c>
      <c r="C18" s="159" t="str">
        <f>_xlfn.IFNA(IF(VLOOKUP(A18,prgm!$A$39:$E$76,5,0)&lt;&gt;".",VLOOKUP(A18,prgm!$A$39:$E$76,5,0),""),"")</f>
        <v/>
      </c>
      <c r="D18" s="160"/>
      <c r="E18" s="20"/>
      <c r="F18" s="3"/>
      <c r="G18" s="3"/>
    </row>
    <row r="19" spans="1:7" ht="12.95" customHeight="1" x14ac:dyDescent="0.3">
      <c r="A19" s="3" t="e">
        <f t="shared" si="0"/>
        <v>#N/A</v>
      </c>
      <c r="B19" s="113" t="str">
        <f>_xlfn.IFNA(IF(VLOOKUP(A19,prgm!$A$39:$E$76,4,0)&lt;&gt;".",VLOOKUP(A19,prgm!$A$39:$E$76,4,0),""),"")</f>
        <v/>
      </c>
      <c r="C19" s="159" t="str">
        <f>_xlfn.IFNA(IF(VLOOKUP(A19,prgm!$A$39:$E$76,5,0)&lt;&gt;".",VLOOKUP(A19,prgm!$A$39:$E$76,5,0),""),"")</f>
        <v/>
      </c>
      <c r="D19" s="160"/>
      <c r="E19" s="20"/>
      <c r="F19" s="3"/>
      <c r="G19" s="3"/>
    </row>
    <row r="20" spans="1:7" ht="12.95" customHeight="1" x14ac:dyDescent="0.3">
      <c r="A20" s="3" t="e">
        <f t="shared" si="0"/>
        <v>#N/A</v>
      </c>
      <c r="B20" s="113" t="str">
        <f>_xlfn.IFNA(IF(VLOOKUP(A20,prgm!$A$39:$E$76,4,0)&lt;&gt;".",VLOOKUP(A20,prgm!$A$39:$E$76,4,0),""),"")</f>
        <v/>
      </c>
      <c r="C20" s="159" t="str">
        <f>_xlfn.IFNA(IF(VLOOKUP(A20,prgm!$A$39:$E$76,5,0)&lt;&gt;".",VLOOKUP(A20,prgm!$A$39:$E$76,5,0),""),"")</f>
        <v/>
      </c>
      <c r="D20" s="160"/>
      <c r="E20" s="20"/>
      <c r="F20" s="3"/>
      <c r="G20" s="3"/>
    </row>
    <row r="21" spans="1:7" ht="12.95" customHeight="1" x14ac:dyDescent="0.3">
      <c r="A21" s="3" t="e">
        <f t="shared" si="0"/>
        <v>#N/A</v>
      </c>
      <c r="B21" s="113" t="str">
        <f>_xlfn.IFNA(IF(VLOOKUP(A21,prgm!$A$39:$E$76,4,0)&lt;&gt;".",VLOOKUP(A21,prgm!$A$39:$E$76,4,0),""),"")</f>
        <v/>
      </c>
      <c r="C21" s="159" t="str">
        <f>_xlfn.IFNA(IF(VLOOKUP(A21,prgm!$A$39:$E$76,5,0)&lt;&gt;".",VLOOKUP(A21,prgm!$A$39:$E$76,5,0),""),"")</f>
        <v/>
      </c>
      <c r="D21" s="160"/>
      <c r="E21" s="20"/>
      <c r="F21" s="3"/>
      <c r="G21" s="3"/>
    </row>
    <row r="22" spans="1:7" ht="12.95" customHeight="1" x14ac:dyDescent="0.3">
      <c r="A22" s="3" t="e">
        <f t="shared" si="0"/>
        <v>#N/A</v>
      </c>
      <c r="B22" s="113" t="str">
        <f>_xlfn.IFNA(IF(VLOOKUP(A22,prgm!$A$39:$E$76,4,0)&lt;&gt;".",VLOOKUP(A22,prgm!$A$39:$E$76,4,0),""),"")</f>
        <v/>
      </c>
      <c r="C22" s="159" t="str">
        <f>_xlfn.IFNA(IF(VLOOKUP(A22,prgm!$A$39:$E$76,5,0)&lt;&gt;".",VLOOKUP(A22,prgm!$A$39:$E$76,5,0),""),"")</f>
        <v/>
      </c>
      <c r="D22" s="160"/>
      <c r="E22" s="5"/>
      <c r="F22" s="3"/>
      <c r="G22" s="3"/>
    </row>
    <row r="23" spans="1:7" ht="12.95" customHeight="1" x14ac:dyDescent="0.3">
      <c r="A23" s="3" t="e">
        <f t="shared" si="0"/>
        <v>#N/A</v>
      </c>
      <c r="B23" s="113" t="str">
        <f>_xlfn.IFNA(IF(VLOOKUP(A23,prgm!$A$39:$E$76,4,0)&lt;&gt;".",VLOOKUP(A23,prgm!$A$39:$E$76,4,0),""),"")</f>
        <v/>
      </c>
      <c r="C23" s="159" t="str">
        <f>_xlfn.IFNA(IF(VLOOKUP(A23,prgm!$A$39:$E$76,5,0)&lt;&gt;".",VLOOKUP(A23,prgm!$A$39:$E$76,5,0),""),"")</f>
        <v/>
      </c>
      <c r="D23" s="160"/>
      <c r="E23" s="20"/>
      <c r="F23" s="3"/>
      <c r="G23" s="3"/>
    </row>
    <row r="24" spans="1:7" ht="12.95" customHeight="1" x14ac:dyDescent="0.3">
      <c r="A24" s="3" t="e">
        <f t="shared" si="0"/>
        <v>#N/A</v>
      </c>
      <c r="B24" s="113" t="str">
        <f>_xlfn.IFNA(IF(VLOOKUP(A24,prgm!$A$39:$E$76,4,0)&lt;&gt;".",VLOOKUP(A24,prgm!$A$39:$E$76,4,0),""),"")</f>
        <v/>
      </c>
      <c r="C24" s="159" t="str">
        <f>_xlfn.IFNA(IF(VLOOKUP(A24,prgm!$A$39:$E$76,5,0)&lt;&gt;".",VLOOKUP(A24,prgm!$A$39:$E$76,5,0),""),"")</f>
        <v/>
      </c>
      <c r="D24" s="160"/>
      <c r="E24" s="20"/>
      <c r="F24" s="3"/>
      <c r="G24" s="3"/>
    </row>
    <row r="25" spans="1:7" ht="12.95" customHeight="1" x14ac:dyDescent="0.3">
      <c r="A25" s="3" t="e">
        <f t="shared" si="0"/>
        <v>#N/A</v>
      </c>
      <c r="B25" s="113" t="str">
        <f>_xlfn.IFNA(IF(VLOOKUP(A25,prgm!$A$39:$E$76,4,0)&lt;&gt;".",VLOOKUP(A25,prgm!$A$39:$E$76,4,0),""),"")</f>
        <v/>
      </c>
      <c r="C25" s="159" t="str">
        <f>_xlfn.IFNA(IF(VLOOKUP(A25,prgm!$A$39:$E$76,5,0)&lt;&gt;".",VLOOKUP(A25,prgm!$A$39:$E$76,5,0),""),"")</f>
        <v/>
      </c>
      <c r="D25" s="160"/>
      <c r="E25" s="20"/>
      <c r="F25" s="3"/>
      <c r="G25" s="3"/>
    </row>
    <row r="26" spans="1:7" ht="12.95" customHeight="1" x14ac:dyDescent="0.3">
      <c r="A26" s="3" t="e">
        <f t="shared" si="0"/>
        <v>#N/A</v>
      </c>
      <c r="B26" s="113" t="str">
        <f>_xlfn.IFNA(IF(VLOOKUP(A26,prgm!$A$39:$E$76,4,0)&lt;&gt;".",VLOOKUP(A26,prgm!$A$39:$E$76,4,0),""),"")</f>
        <v/>
      </c>
      <c r="C26" s="159" t="str">
        <f>_xlfn.IFNA(IF(VLOOKUP(A26,prgm!$A$39:$E$76,5,0)&lt;&gt;".",VLOOKUP(A26,prgm!$A$39:$E$76,5,0),""),"")</f>
        <v/>
      </c>
      <c r="D26" s="160"/>
      <c r="E26" s="20"/>
      <c r="F26" s="3"/>
      <c r="G26" s="3"/>
    </row>
    <row r="27" spans="1:7" ht="26.1" customHeight="1" x14ac:dyDescent="0.25">
      <c r="A27" s="3" t="e">
        <f t="shared" si="0"/>
        <v>#N/A</v>
      </c>
      <c r="B27" s="115" t="str">
        <f>_xlfn.IFNA(IF(VLOOKUP(A27,prgm!$A$39:$E$76,4,0)&lt;&gt;".",VLOOKUP(A27,prgm!$A$39:$E$76,4,0),""),"")</f>
        <v/>
      </c>
      <c r="C27" s="185" t="str">
        <f>_xlfn.IFNA(IF(VLOOKUP(A27,prgm!$A$39:$E$76,5,0)&lt;&gt;".",VLOOKUP(A27,prgm!$A$39:$E$76,5,0),""),"")</f>
        <v/>
      </c>
      <c r="D27" s="186"/>
      <c r="E27" s="20"/>
      <c r="F27" s="20"/>
      <c r="G27" s="20"/>
    </row>
    <row r="28" spans="1:7" ht="12.95" customHeight="1" x14ac:dyDescent="0.3">
      <c r="A28" s="3"/>
      <c r="B28" s="176" t="s">
        <v>23</v>
      </c>
      <c r="C28" s="176"/>
      <c r="D28" s="176"/>
      <c r="E28" s="20"/>
      <c r="F28" s="3"/>
      <c r="G28" s="3"/>
    </row>
    <row r="29" spans="1:7" ht="12.95" customHeight="1" x14ac:dyDescent="0.3">
      <c r="A29" s="3" t="e">
        <f>VLOOKUP(prgm!B3,prgm!$A$14:$G$22,6,0)</f>
        <v>#N/A</v>
      </c>
      <c r="B29" s="112" t="str">
        <f>_xlfn.IFNA(VLOOKUP(A29,prgm!$A$81:$B$94,2,0),"")</f>
        <v/>
      </c>
      <c r="C29" s="157" t="str">
        <f>_xlfn.IFNA(VLOOKUP(A29,prgm!$A$81:$C$94,3,0),"")</f>
        <v/>
      </c>
      <c r="D29" s="158"/>
      <c r="E29" s="20"/>
      <c r="F29" s="3"/>
      <c r="G29" s="3"/>
    </row>
    <row r="30" spans="1:7" ht="12.95" customHeight="1" x14ac:dyDescent="0.3">
      <c r="A30" s="3" t="e">
        <f>A29+1</f>
        <v>#N/A</v>
      </c>
      <c r="B30" s="113" t="str">
        <f>_xlfn.IFNA(VLOOKUP(A30,prgm!$A$81:$B$94,2,0),"")</f>
        <v/>
      </c>
      <c r="C30" s="174" t="str">
        <f>_xlfn.IFNA(VLOOKUP(A30,prgm!$A$81:$C$94,3,0),"")</f>
        <v/>
      </c>
      <c r="D30" s="175"/>
      <c r="E30" s="20"/>
      <c r="F30" s="3"/>
      <c r="G30" s="3"/>
    </row>
    <row r="31" spans="1:7" ht="12.95" customHeight="1" x14ac:dyDescent="0.3">
      <c r="A31" s="3" t="e">
        <f t="shared" ref="A31:A33" si="1">A30+1</f>
        <v>#N/A</v>
      </c>
      <c r="B31" s="113" t="str">
        <f>_xlfn.IFNA(VLOOKUP(A31,prgm!$A$81:$B$94,2,0),"")</f>
        <v/>
      </c>
      <c r="C31" s="174" t="str">
        <f>_xlfn.IFNA(VLOOKUP(A31,prgm!$A$81:$C$94,3,0),"")</f>
        <v/>
      </c>
      <c r="D31" s="175"/>
      <c r="E31" s="20"/>
      <c r="F31" s="3"/>
      <c r="G31" s="3"/>
    </row>
    <row r="32" spans="1:7" ht="12.95" customHeight="1" x14ac:dyDescent="0.3">
      <c r="A32" s="3" t="e">
        <f t="shared" si="1"/>
        <v>#N/A</v>
      </c>
      <c r="B32" s="113" t="str">
        <f>_xlfn.IFNA(VLOOKUP(A32,prgm!$A$81:$B$94,2,0),"")</f>
        <v/>
      </c>
      <c r="C32" s="174" t="str">
        <f>_xlfn.IFNA(VLOOKUP(A32,prgm!$A$81:$C$94,3,0),"")</f>
        <v/>
      </c>
      <c r="D32" s="175"/>
      <c r="E32" s="20"/>
      <c r="F32" s="3"/>
      <c r="G32" s="3"/>
    </row>
    <row r="33" spans="1:7" ht="12.95" customHeight="1" x14ac:dyDescent="0.3">
      <c r="A33" s="3" t="e">
        <f t="shared" si="1"/>
        <v>#N/A</v>
      </c>
      <c r="B33" s="116" t="str">
        <f>_xlfn.IFNA(VLOOKUP(A33,prgm!$A$81:$B$94,2,0),"")</f>
        <v/>
      </c>
      <c r="C33" s="183" t="str">
        <f>_xlfn.IFNA(VLOOKUP(A33,prgm!$A$81:$C$94,3,0),"")</f>
        <v/>
      </c>
      <c r="D33" s="184"/>
      <c r="E33" s="20"/>
      <c r="F33" s="3"/>
      <c r="G33" s="3"/>
    </row>
    <row r="34" spans="1:7" ht="12.95" customHeight="1" x14ac:dyDescent="0.3">
      <c r="A34" s="3"/>
      <c r="B34" s="165" t="s">
        <v>7</v>
      </c>
      <c r="C34" s="165"/>
      <c r="D34" s="165"/>
      <c r="E34" s="99"/>
      <c r="F34" s="3"/>
      <c r="G34" s="3"/>
    </row>
    <row r="35" spans="1:7" ht="84.95" customHeight="1" x14ac:dyDescent="0.25">
      <c r="A35" s="3"/>
      <c r="B35" s="177">
        <f>prgm!B112</f>
        <v>0</v>
      </c>
      <c r="C35" s="178"/>
      <c r="D35" s="179"/>
      <c r="E35" s="2"/>
      <c r="F35" s="3"/>
      <c r="G35" s="3"/>
    </row>
    <row r="36" spans="1:7" ht="12.95" customHeight="1" x14ac:dyDescent="0.3">
      <c r="A36" s="3"/>
      <c r="B36" s="173" t="s">
        <v>70</v>
      </c>
      <c r="C36" s="173"/>
      <c r="D36" s="173"/>
      <c r="E36" s="9"/>
      <c r="F36" s="3"/>
      <c r="G36" s="3"/>
    </row>
    <row r="37" spans="1:7" ht="12.95" customHeight="1" x14ac:dyDescent="0.25">
      <c r="A37" s="3"/>
      <c r="B37" s="106" t="s">
        <v>8</v>
      </c>
      <c r="C37" s="106" t="s">
        <v>6</v>
      </c>
      <c r="D37" s="106" t="s">
        <v>9</v>
      </c>
      <c r="E37" s="2"/>
      <c r="F37" s="3"/>
      <c r="G37" s="3"/>
    </row>
    <row r="38" spans="1:7" ht="65.099999999999994" customHeight="1" x14ac:dyDescent="0.3">
      <c r="A38" s="3"/>
      <c r="B38" s="117"/>
      <c r="C38" s="117"/>
      <c r="D38" s="117"/>
      <c r="E38" s="7"/>
      <c r="F38" s="7"/>
      <c r="G38" s="7"/>
    </row>
    <row r="39" spans="1:7" ht="30" customHeight="1" x14ac:dyDescent="0.25">
      <c r="A39" s="3"/>
      <c r="B39" s="107" t="str">
        <f>prgm!A99</f>
        <v/>
      </c>
      <c r="C39" s="107" t="str">
        <f>prgm!B99</f>
        <v/>
      </c>
      <c r="D39" s="107" t="str">
        <f>prgm!C99</f>
        <v/>
      </c>
      <c r="E39" s="2"/>
      <c r="F39" s="3"/>
      <c r="G39" s="3"/>
    </row>
    <row r="40" spans="1:7" ht="30" customHeight="1" x14ac:dyDescent="0.25">
      <c r="A40" s="3"/>
      <c r="B40" s="108" t="str">
        <f>prgm!A100</f>
        <v/>
      </c>
      <c r="C40" s="108" t="str">
        <f>prgm!B100</f>
        <v/>
      </c>
      <c r="D40" s="108" t="str">
        <f>prgm!C100</f>
        <v/>
      </c>
      <c r="E40" s="2"/>
      <c r="F40" s="3"/>
      <c r="G40" s="3"/>
    </row>
    <row r="41" spans="1:7" ht="12.95" customHeight="1" x14ac:dyDescent="0.25">
      <c r="A41" s="3"/>
      <c r="B41" s="122"/>
      <c r="C41" s="122"/>
      <c r="D41" s="122"/>
      <c r="E41" s="2"/>
      <c r="F41" s="3"/>
      <c r="G41" s="3"/>
    </row>
    <row r="42" spans="1:7" ht="46.5" customHeight="1" x14ac:dyDescent="0.25">
      <c r="B42" s="148"/>
      <c r="C42" s="104" t="s">
        <v>165</v>
      </c>
      <c r="D42" s="105" t="s">
        <v>1259</v>
      </c>
      <c r="E42" s="3"/>
      <c r="F42" s="3"/>
      <c r="G42" s="3"/>
    </row>
    <row r="43" spans="1:7" ht="16.5" customHeight="1" x14ac:dyDescent="0.25">
      <c r="B43" s="149"/>
      <c r="C43" s="146" t="s">
        <v>166</v>
      </c>
      <c r="D43" s="147"/>
      <c r="E43" s="3"/>
      <c r="F43" s="3"/>
      <c r="G43" s="3"/>
    </row>
    <row r="44" spans="1:7" ht="14.1" customHeight="1" x14ac:dyDescent="0.25">
      <c r="A44" s="5"/>
      <c r="B44" s="150" t="s">
        <v>1144</v>
      </c>
      <c r="C44" s="150"/>
      <c r="D44" s="150"/>
      <c r="E44" s="2"/>
      <c r="F44" s="3"/>
      <c r="G44" s="3"/>
    </row>
    <row r="45" spans="1:7" ht="245.1" customHeight="1" x14ac:dyDescent="0.25">
      <c r="A45" s="3"/>
      <c r="B45" s="180" t="s">
        <v>1145</v>
      </c>
      <c r="C45" s="181"/>
      <c r="D45" s="182"/>
      <c r="E45" s="14"/>
      <c r="F45" s="3"/>
      <c r="G45" s="3"/>
    </row>
    <row r="46" spans="1:7" ht="249.95" customHeight="1" x14ac:dyDescent="0.25">
      <c r="A46" s="3"/>
      <c r="B46" s="170" t="s">
        <v>1143</v>
      </c>
      <c r="C46" s="171"/>
      <c r="D46" s="172"/>
      <c r="E46" s="14"/>
      <c r="F46" s="3"/>
      <c r="G46" s="3"/>
    </row>
    <row r="47" spans="1:7" ht="3.75" customHeight="1" x14ac:dyDescent="0.25">
      <c r="A47" s="3"/>
      <c r="B47" s="53"/>
      <c r="C47" s="53"/>
      <c r="D47" s="53"/>
      <c r="E47" s="14"/>
      <c r="F47" s="3"/>
      <c r="G47" s="3"/>
    </row>
    <row r="48" spans="1:7" ht="3" customHeight="1" x14ac:dyDescent="0.25">
      <c r="A48" s="3"/>
      <c r="B48" s="54"/>
      <c r="C48" s="54"/>
      <c r="D48" s="54"/>
      <c r="E48" s="15"/>
      <c r="F48" s="3"/>
      <c r="G48" s="3"/>
    </row>
    <row r="49" spans="1:7" ht="12.95" customHeight="1" x14ac:dyDescent="0.25">
      <c r="A49" s="3"/>
      <c r="B49" s="118" t="str">
        <f>prgm!A104</f>
        <v/>
      </c>
      <c r="C49" s="119" t="str">
        <f>prgm!B104</f>
        <v/>
      </c>
      <c r="D49" s="120" t="str">
        <f>prgm!C104</f>
        <v/>
      </c>
      <c r="E49" s="16"/>
      <c r="F49" s="3"/>
      <c r="G49" s="3"/>
    </row>
    <row r="50" spans="1:7" ht="12.95" customHeight="1" x14ac:dyDescent="0.3">
      <c r="A50" s="3"/>
      <c r="B50" s="121" t="str">
        <f>prgm!A105</f>
        <v/>
      </c>
      <c r="C50" s="122" t="str">
        <f>prgm!B105</f>
        <v/>
      </c>
      <c r="D50" s="123"/>
      <c r="E50" s="15"/>
      <c r="F50" s="3"/>
      <c r="G50" s="3"/>
    </row>
    <row r="51" spans="1:7" ht="60" customHeight="1" x14ac:dyDescent="0.3">
      <c r="A51" s="3"/>
      <c r="B51" s="128"/>
      <c r="C51" s="129"/>
      <c r="D51" s="130"/>
      <c r="E51" s="17"/>
      <c r="F51" s="3"/>
      <c r="G51" s="3"/>
    </row>
    <row r="52" spans="1:7" ht="33" customHeight="1" x14ac:dyDescent="0.25">
      <c r="A52" s="3"/>
      <c r="B52" s="121" t="str">
        <f>prgm!A106</f>
        <v/>
      </c>
      <c r="C52" s="122" t="str">
        <f>prgm!B106</f>
        <v/>
      </c>
      <c r="D52" s="124" t="str">
        <f>prgm!C106</f>
        <v/>
      </c>
      <c r="E52" s="16"/>
      <c r="F52" s="3"/>
      <c r="G52" s="3"/>
    </row>
    <row r="53" spans="1:7" ht="33" customHeight="1" x14ac:dyDescent="0.25">
      <c r="A53" s="3"/>
      <c r="B53" s="125" t="str">
        <f>prgm!A107</f>
        <v/>
      </c>
      <c r="C53" s="126" t="str">
        <f>prgm!B107</f>
        <v/>
      </c>
      <c r="D53" s="127" t="str">
        <f>prgm!C107</f>
        <v/>
      </c>
      <c r="E53" s="16"/>
      <c r="F53" s="3"/>
      <c r="G53" s="3"/>
    </row>
    <row r="54" spans="1:7" x14ac:dyDescent="0.25">
      <c r="A54" s="3"/>
      <c r="B54" s="10"/>
      <c r="C54" s="10"/>
      <c r="D54" s="10"/>
      <c r="E54" s="10"/>
      <c r="F54" s="3"/>
      <c r="G54" s="3"/>
    </row>
    <row r="55" spans="1:7" x14ac:dyDescent="0.25">
      <c r="A55" s="3"/>
      <c r="B55" s="10"/>
      <c r="C55" s="10"/>
      <c r="D55" s="10"/>
      <c r="E55" s="10"/>
      <c r="F55" s="3"/>
      <c r="G55" s="3"/>
    </row>
    <row r="56" spans="1:7" x14ac:dyDescent="0.25">
      <c r="A56" s="3"/>
      <c r="B56" s="10"/>
      <c r="C56" s="10"/>
      <c r="D56" s="10"/>
      <c r="E56" s="10"/>
      <c r="F56" s="3"/>
      <c r="G56" s="3"/>
    </row>
    <row r="57" spans="1:7" x14ac:dyDescent="0.25">
      <c r="A57" s="3"/>
      <c r="B57" s="10"/>
      <c r="C57" s="10"/>
      <c r="D57" s="10"/>
      <c r="E57" s="10"/>
      <c r="F57" s="3"/>
      <c r="G57" s="3"/>
    </row>
    <row r="58" spans="1:7" x14ac:dyDescent="0.25">
      <c r="A58" s="3"/>
      <c r="B58" s="10"/>
      <c r="C58" s="10"/>
      <c r="D58" s="10"/>
      <c r="E58" s="10"/>
      <c r="F58" s="3"/>
      <c r="G58" s="3"/>
    </row>
    <row r="59" spans="1:7" x14ac:dyDescent="0.25">
      <c r="A59" s="3"/>
      <c r="B59" s="10"/>
      <c r="C59" s="10"/>
      <c r="D59" s="10"/>
      <c r="E59" s="10"/>
      <c r="F59" s="3"/>
      <c r="G59" s="3"/>
    </row>
    <row r="60" spans="1:7" x14ac:dyDescent="0.25">
      <c r="A60" s="3"/>
      <c r="B60" s="10"/>
      <c r="C60" s="10"/>
      <c r="D60" s="10"/>
      <c r="E60" s="10"/>
      <c r="F60" s="3"/>
      <c r="G60" s="3"/>
    </row>
    <row r="61" spans="1:7" x14ac:dyDescent="0.25">
      <c r="A61" s="3"/>
      <c r="B61" s="10"/>
      <c r="C61" s="10"/>
      <c r="D61" s="10"/>
      <c r="E61" s="10"/>
      <c r="F61" s="3"/>
      <c r="G61" s="3"/>
    </row>
    <row r="62" spans="1:7" x14ac:dyDescent="0.25">
      <c r="A62" s="3"/>
      <c r="B62" s="10"/>
      <c r="C62" s="10"/>
      <c r="D62" s="10"/>
      <c r="E62" s="10"/>
      <c r="F62" s="3"/>
      <c r="G62" s="3"/>
    </row>
    <row r="63" spans="1:7" x14ac:dyDescent="0.25">
      <c r="A63" s="3"/>
      <c r="B63" s="10"/>
      <c r="C63" s="10"/>
      <c r="D63" s="10"/>
      <c r="E63" s="10"/>
      <c r="F63" s="3"/>
      <c r="G63" s="3"/>
    </row>
    <row r="64" spans="1:7" x14ac:dyDescent="0.25">
      <c r="A64" s="3"/>
      <c r="B64" s="10"/>
      <c r="C64" s="10"/>
      <c r="D64" s="10"/>
      <c r="E64" s="10"/>
      <c r="F64" s="3"/>
      <c r="G64" s="3"/>
    </row>
    <row r="65" spans="1:7" x14ac:dyDescent="0.25">
      <c r="A65" s="3"/>
      <c r="B65" s="10"/>
      <c r="C65" s="10"/>
      <c r="D65" s="10"/>
      <c r="E65" s="10"/>
      <c r="F65" s="3"/>
      <c r="G65" s="3"/>
    </row>
    <row r="66" spans="1:7" x14ac:dyDescent="0.25">
      <c r="A66" s="3"/>
      <c r="B66" s="10"/>
      <c r="C66" s="10"/>
      <c r="D66" s="10"/>
      <c r="E66" s="10"/>
      <c r="F66" s="3"/>
      <c r="G66" s="3"/>
    </row>
    <row r="67" spans="1:7" x14ac:dyDescent="0.25">
      <c r="A67" s="3"/>
      <c r="B67" s="10"/>
      <c r="C67" s="10"/>
      <c r="D67" s="10"/>
      <c r="E67" s="10"/>
      <c r="F67" s="3"/>
      <c r="G67" s="3"/>
    </row>
    <row r="68" spans="1:7" x14ac:dyDescent="0.25">
      <c r="A68" s="3"/>
      <c r="B68" s="10"/>
      <c r="C68" s="10"/>
      <c r="D68" s="10"/>
      <c r="E68" s="10"/>
      <c r="F68" s="3"/>
      <c r="G68" s="3"/>
    </row>
    <row r="69" spans="1:7" x14ac:dyDescent="0.25">
      <c r="A69" s="3"/>
      <c r="B69" s="10"/>
      <c r="C69" s="10"/>
      <c r="D69" s="10"/>
      <c r="E69" s="10"/>
      <c r="F69" s="3"/>
      <c r="G69" s="3"/>
    </row>
    <row r="70" spans="1:7" x14ac:dyDescent="0.25">
      <c r="A70" s="3"/>
      <c r="B70" s="10"/>
      <c r="C70" s="10"/>
      <c r="D70" s="10"/>
      <c r="E70" s="10"/>
      <c r="F70" s="3"/>
      <c r="G70" s="3"/>
    </row>
    <row r="71" spans="1:7" x14ac:dyDescent="0.25">
      <c r="A71" s="3"/>
      <c r="B71" s="10"/>
      <c r="C71" s="10"/>
      <c r="D71" s="10"/>
      <c r="E71" s="10"/>
      <c r="F71" s="3"/>
      <c r="G71" s="3"/>
    </row>
    <row r="72" spans="1:7" x14ac:dyDescent="0.25">
      <c r="A72" s="3"/>
      <c r="B72" s="10"/>
      <c r="C72" s="10"/>
      <c r="D72" s="10"/>
      <c r="E72" s="10"/>
      <c r="F72" s="3"/>
      <c r="G72" s="3"/>
    </row>
    <row r="73" spans="1:7" x14ac:dyDescent="0.25">
      <c r="A73" s="3"/>
      <c r="B73" s="10"/>
      <c r="C73" s="10"/>
      <c r="D73" s="10"/>
      <c r="E73" s="10"/>
      <c r="F73" s="3"/>
      <c r="G73" s="3"/>
    </row>
    <row r="74" spans="1:7" x14ac:dyDescent="0.25">
      <c r="A74" s="3"/>
      <c r="B74" s="10"/>
      <c r="C74" s="10"/>
      <c r="D74" s="10"/>
      <c r="E74" s="10"/>
      <c r="F74" s="3"/>
      <c r="G74" s="3"/>
    </row>
    <row r="75" spans="1:7" x14ac:dyDescent="0.25">
      <c r="A75" s="3"/>
      <c r="B75" s="3"/>
      <c r="C75" s="3"/>
      <c r="D75" s="3"/>
      <c r="E75" s="3"/>
      <c r="F75" s="3"/>
      <c r="G75" s="3"/>
    </row>
    <row r="76" spans="1:7" x14ac:dyDescent="0.25">
      <c r="A76" s="3"/>
      <c r="B76" s="3"/>
      <c r="C76" s="3"/>
      <c r="D76" s="3"/>
      <c r="E76" s="3"/>
      <c r="F76" s="3"/>
      <c r="G76" s="3"/>
    </row>
    <row r="77" spans="1:7" x14ac:dyDescent="0.25">
      <c r="A77" s="3"/>
      <c r="B77" s="3"/>
      <c r="C77" s="3"/>
      <c r="D77" s="3"/>
      <c r="E77" s="3"/>
      <c r="F77" s="3"/>
      <c r="G77" s="3"/>
    </row>
    <row r="78" spans="1:7" x14ac:dyDescent="0.25">
      <c r="A78" s="3"/>
      <c r="B78" s="3"/>
      <c r="C78" s="3"/>
      <c r="D78" s="3"/>
      <c r="E78" s="3"/>
      <c r="F78" s="3"/>
      <c r="G78" s="3"/>
    </row>
    <row r="79" spans="1:7" x14ac:dyDescent="0.25">
      <c r="A79" s="3"/>
      <c r="B79" s="3"/>
      <c r="C79" s="3"/>
      <c r="D79" s="3"/>
      <c r="E79" s="3"/>
      <c r="F79" s="3"/>
      <c r="G79" s="3"/>
    </row>
    <row r="80" spans="1:7" x14ac:dyDescent="0.25">
      <c r="A80" s="3"/>
      <c r="B80" s="3"/>
      <c r="C80" s="3"/>
      <c r="D80" s="3"/>
      <c r="E80" s="3"/>
      <c r="F80" s="3"/>
      <c r="G80" s="3"/>
    </row>
    <row r="81" spans="1:7" x14ac:dyDescent="0.25">
      <c r="A81" s="3"/>
      <c r="B81" s="3"/>
      <c r="C81" s="3"/>
      <c r="D81" s="3"/>
      <c r="E81" s="3"/>
      <c r="F81" s="3"/>
      <c r="G81" s="3"/>
    </row>
    <row r="82" spans="1:7" x14ac:dyDescent="0.25">
      <c r="A82" s="3"/>
      <c r="B82" s="3"/>
      <c r="C82" s="3"/>
      <c r="D82" s="3"/>
      <c r="E82" s="3"/>
      <c r="F82" s="3"/>
      <c r="G82" s="3"/>
    </row>
    <row r="83" spans="1:7" x14ac:dyDescent="0.25">
      <c r="A83" s="3"/>
      <c r="B83" s="3"/>
      <c r="C83" s="3"/>
      <c r="D83" s="3"/>
      <c r="E83" s="3"/>
      <c r="F83" s="3"/>
      <c r="G83" s="3"/>
    </row>
    <row r="84" spans="1:7" x14ac:dyDescent="0.25">
      <c r="A84" s="3"/>
      <c r="B84" s="3"/>
      <c r="C84" s="3"/>
      <c r="D84" s="3"/>
      <c r="E84" s="3"/>
      <c r="F84" s="3"/>
      <c r="G84" s="3"/>
    </row>
    <row r="85" spans="1:7" x14ac:dyDescent="0.25">
      <c r="A85" s="3"/>
      <c r="B85" s="3"/>
      <c r="C85" s="3"/>
      <c r="D85" s="3"/>
      <c r="E85" s="3"/>
      <c r="F85" s="3"/>
      <c r="G85" s="3"/>
    </row>
    <row r="86" spans="1:7" x14ac:dyDescent="0.25">
      <c r="A86" s="3"/>
      <c r="B86" s="3"/>
      <c r="C86" s="3"/>
      <c r="D86" s="3"/>
      <c r="E86" s="3"/>
      <c r="F86" s="3"/>
      <c r="G86" s="3"/>
    </row>
    <row r="87" spans="1:7" x14ac:dyDescent="0.25">
      <c r="A87" s="3"/>
      <c r="B87" s="3"/>
      <c r="C87" s="3"/>
      <c r="D87" s="3"/>
      <c r="E87" s="3"/>
      <c r="F87" s="3"/>
      <c r="G87" s="3"/>
    </row>
    <row r="88" spans="1:7" x14ac:dyDescent="0.25">
      <c r="A88" s="3"/>
      <c r="B88" s="3"/>
      <c r="C88" s="3"/>
      <c r="D88" s="3"/>
      <c r="E88" s="3"/>
      <c r="F88" s="3"/>
      <c r="G88" s="3"/>
    </row>
    <row r="89" spans="1:7" x14ac:dyDescent="0.25">
      <c r="A89" s="3"/>
      <c r="B89" s="3"/>
      <c r="C89" s="3"/>
      <c r="D89" s="3"/>
      <c r="E89" s="3"/>
      <c r="F89" s="3"/>
      <c r="G89" s="3"/>
    </row>
    <row r="90" spans="1:7" x14ac:dyDescent="0.25">
      <c r="A90" s="3"/>
      <c r="B90" s="3"/>
      <c r="C90" s="3"/>
      <c r="D90" s="3"/>
      <c r="E90" s="3"/>
      <c r="F90" s="3"/>
      <c r="G90" s="3"/>
    </row>
    <row r="91" spans="1:7" x14ac:dyDescent="0.25">
      <c r="A91" s="3"/>
      <c r="B91" s="3"/>
      <c r="C91" s="3"/>
      <c r="D91" s="3"/>
      <c r="E91" s="3"/>
      <c r="F91" s="3"/>
      <c r="G91" s="3"/>
    </row>
    <row r="92" spans="1:7" x14ac:dyDescent="0.25">
      <c r="A92" s="3"/>
      <c r="B92" s="3"/>
      <c r="C92" s="3"/>
      <c r="D92" s="3"/>
      <c r="E92" s="3"/>
      <c r="F92" s="3"/>
      <c r="G92" s="3"/>
    </row>
    <row r="93" spans="1:7" x14ac:dyDescent="0.25">
      <c r="A93" s="3"/>
      <c r="B93" s="3"/>
      <c r="C93" s="3"/>
      <c r="D93" s="3"/>
      <c r="E93" s="3"/>
      <c r="F93" s="3"/>
      <c r="G93" s="3"/>
    </row>
    <row r="94" spans="1:7" x14ac:dyDescent="0.25">
      <c r="A94" s="3"/>
      <c r="B94" s="3"/>
      <c r="C94" s="3"/>
      <c r="D94" s="3"/>
      <c r="E94" s="3"/>
      <c r="F94" s="3"/>
      <c r="G94" s="3"/>
    </row>
    <row r="95" spans="1:7" x14ac:dyDescent="0.25">
      <c r="A95" s="3"/>
      <c r="B95" s="3"/>
      <c r="C95" s="3"/>
      <c r="D95" s="3"/>
      <c r="E95" s="3"/>
      <c r="F95" s="3"/>
      <c r="G95" s="3"/>
    </row>
    <row r="96" spans="1:7" x14ac:dyDescent="0.25">
      <c r="A96" s="3"/>
      <c r="B96" s="3"/>
      <c r="C96" s="3"/>
      <c r="D96" s="3"/>
      <c r="E96" s="3"/>
      <c r="F96" s="3"/>
      <c r="G96" s="3"/>
    </row>
    <row r="97" spans="1:7" x14ac:dyDescent="0.25">
      <c r="A97" s="3"/>
      <c r="B97" s="3"/>
      <c r="C97" s="3"/>
      <c r="D97" s="3"/>
      <c r="E97" s="3"/>
      <c r="F97" s="3"/>
      <c r="G97" s="3"/>
    </row>
    <row r="98" spans="1:7" x14ac:dyDescent="0.25">
      <c r="A98" s="3"/>
      <c r="B98" s="3"/>
      <c r="C98" s="3"/>
      <c r="D98" s="3"/>
      <c r="E98" s="3"/>
      <c r="F98" s="3"/>
      <c r="G98" s="3"/>
    </row>
    <row r="99" spans="1:7" x14ac:dyDescent="0.25">
      <c r="A99" s="3"/>
      <c r="B99" s="3"/>
      <c r="C99" s="3"/>
      <c r="D99" s="3"/>
      <c r="E99" s="3"/>
      <c r="F99" s="3"/>
      <c r="G99" s="3"/>
    </row>
    <row r="100" spans="1:7" x14ac:dyDescent="0.25">
      <c r="A100" s="3"/>
      <c r="B100" s="3"/>
      <c r="C100" s="3"/>
      <c r="D100" s="3"/>
      <c r="E100" s="3"/>
      <c r="F100" s="3"/>
      <c r="G100" s="3"/>
    </row>
    <row r="101" spans="1:7" x14ac:dyDescent="0.25">
      <c r="A101" s="3"/>
      <c r="B101" s="3"/>
      <c r="C101" s="3"/>
      <c r="D101" s="3"/>
      <c r="E101" s="3"/>
      <c r="F101" s="3"/>
      <c r="G101" s="3"/>
    </row>
    <row r="102" spans="1:7" x14ac:dyDescent="0.25">
      <c r="A102" s="3"/>
      <c r="B102" s="3"/>
      <c r="C102" s="3"/>
      <c r="D102" s="3"/>
      <c r="E102" s="3"/>
      <c r="F102" s="3"/>
      <c r="G102" s="3"/>
    </row>
    <row r="103" spans="1:7" x14ac:dyDescent="0.25">
      <c r="A103" s="3"/>
      <c r="B103" s="3"/>
      <c r="C103" s="3"/>
      <c r="D103" s="3"/>
      <c r="E103" s="3"/>
      <c r="F103" s="3"/>
      <c r="G103" s="3"/>
    </row>
    <row r="104" spans="1:7" x14ac:dyDescent="0.25">
      <c r="A104" s="3"/>
      <c r="B104" s="3"/>
      <c r="C104" s="3"/>
      <c r="D104" s="3"/>
      <c r="E104" s="3"/>
      <c r="F104" s="3"/>
      <c r="G104" s="3"/>
    </row>
    <row r="105" spans="1:7" x14ac:dyDescent="0.25">
      <c r="A105" s="3"/>
      <c r="B105" s="3"/>
      <c r="C105" s="3"/>
      <c r="D105" s="3"/>
      <c r="E105" s="3"/>
      <c r="F105" s="3"/>
      <c r="G105" s="3"/>
    </row>
    <row r="106" spans="1:7" x14ac:dyDescent="0.25">
      <c r="A106" s="3"/>
      <c r="B106" s="3"/>
      <c r="C106" s="3"/>
      <c r="D106" s="3"/>
      <c r="E106" s="3"/>
      <c r="F106" s="3"/>
      <c r="G106" s="3"/>
    </row>
    <row r="107" spans="1:7" x14ac:dyDescent="0.25">
      <c r="A107" s="3"/>
      <c r="B107" s="3"/>
      <c r="C107" s="3"/>
      <c r="D107" s="3"/>
      <c r="E107" s="3"/>
      <c r="F107" s="3"/>
      <c r="G107" s="3"/>
    </row>
    <row r="108" spans="1:7" x14ac:dyDescent="0.25">
      <c r="A108" s="3"/>
      <c r="B108" s="3"/>
      <c r="C108" s="3"/>
      <c r="D108" s="3"/>
      <c r="E108" s="3"/>
      <c r="F108" s="3"/>
      <c r="G108" s="3"/>
    </row>
    <row r="109" spans="1:7" x14ac:dyDescent="0.25">
      <c r="A109" s="3"/>
      <c r="B109" s="3"/>
      <c r="C109" s="3"/>
      <c r="D109" s="3"/>
      <c r="E109" s="3"/>
      <c r="F109" s="3"/>
      <c r="G109" s="3"/>
    </row>
    <row r="110" spans="1:7" x14ac:dyDescent="0.25">
      <c r="A110" s="3"/>
      <c r="B110" s="3"/>
      <c r="C110" s="3"/>
      <c r="D110" s="3"/>
      <c r="E110" s="3"/>
      <c r="F110" s="3"/>
      <c r="G110" s="3"/>
    </row>
    <row r="111" spans="1:7" x14ac:dyDescent="0.25">
      <c r="A111" s="3"/>
      <c r="B111" s="3"/>
      <c r="C111" s="3"/>
      <c r="D111" s="3"/>
      <c r="E111" s="3"/>
      <c r="F111" s="3"/>
      <c r="G111" s="3"/>
    </row>
    <row r="112" spans="1:7" x14ac:dyDescent="0.25">
      <c r="A112" s="3"/>
      <c r="B112" s="3"/>
      <c r="C112" s="3"/>
      <c r="D112" s="3"/>
      <c r="E112" s="3"/>
      <c r="F112" s="3"/>
      <c r="G112" s="3"/>
    </row>
    <row r="113" spans="1:7" x14ac:dyDescent="0.25">
      <c r="A113" s="3"/>
      <c r="B113" s="3"/>
      <c r="C113" s="3"/>
      <c r="D113" s="3"/>
      <c r="E113" s="3"/>
      <c r="F113" s="3"/>
      <c r="G113" s="3"/>
    </row>
    <row r="114" spans="1:7" x14ac:dyDescent="0.25">
      <c r="A114" s="3"/>
      <c r="B114" s="3"/>
      <c r="C114" s="3"/>
      <c r="D114" s="3"/>
      <c r="E114" s="3"/>
      <c r="F114" s="3"/>
      <c r="G114" s="3"/>
    </row>
    <row r="115" spans="1:7" x14ac:dyDescent="0.25">
      <c r="A115" s="3"/>
      <c r="B115" s="3"/>
      <c r="C115" s="3"/>
      <c r="D115" s="3"/>
      <c r="E115" s="3"/>
      <c r="F115" s="3"/>
      <c r="G115" s="3"/>
    </row>
    <row r="116" spans="1:7" x14ac:dyDescent="0.25">
      <c r="A116" s="3"/>
      <c r="B116" s="3"/>
      <c r="C116" s="3"/>
      <c r="D116" s="3"/>
      <c r="E116" s="3"/>
      <c r="F116" s="3"/>
      <c r="G116" s="3"/>
    </row>
    <row r="117" spans="1:7" x14ac:dyDescent="0.25">
      <c r="A117" s="3"/>
      <c r="B117" s="3"/>
      <c r="C117" s="3"/>
      <c r="D117" s="3"/>
      <c r="E117" s="3"/>
      <c r="F117" s="3"/>
      <c r="G117" s="3"/>
    </row>
    <row r="118" spans="1:7" x14ac:dyDescent="0.25">
      <c r="A118" s="3"/>
      <c r="B118" s="3"/>
      <c r="C118" s="3"/>
      <c r="D118" s="3"/>
      <c r="E118" s="3"/>
      <c r="F118" s="3"/>
      <c r="G118" s="3"/>
    </row>
    <row r="119" spans="1:7" x14ac:dyDescent="0.25">
      <c r="A119" s="3"/>
      <c r="B119" s="3"/>
      <c r="C119" s="3"/>
      <c r="D119" s="3"/>
      <c r="E119" s="3"/>
      <c r="F119" s="3"/>
      <c r="G119" s="3"/>
    </row>
    <row r="120" spans="1:7" x14ac:dyDescent="0.25">
      <c r="A120" s="3"/>
      <c r="B120" s="3"/>
      <c r="C120" s="3"/>
      <c r="D120" s="3"/>
      <c r="E120" s="3"/>
      <c r="F120" s="3"/>
      <c r="G120" s="3"/>
    </row>
    <row r="121" spans="1:7" x14ac:dyDescent="0.25">
      <c r="A121" s="3"/>
      <c r="B121" s="3"/>
      <c r="C121" s="3"/>
      <c r="D121" s="3"/>
      <c r="E121" s="3"/>
      <c r="F121" s="3"/>
      <c r="G121" s="3"/>
    </row>
    <row r="122" spans="1:7" x14ac:dyDescent="0.25">
      <c r="A122" s="3"/>
      <c r="B122" s="3"/>
      <c r="C122" s="3"/>
      <c r="D122" s="3"/>
      <c r="E122" s="3"/>
      <c r="F122" s="3"/>
      <c r="G122" s="3"/>
    </row>
    <row r="123" spans="1:7" x14ac:dyDescent="0.25">
      <c r="A123" s="3"/>
      <c r="B123" s="3"/>
      <c r="C123" s="3"/>
      <c r="D123" s="3"/>
      <c r="E123" s="3"/>
      <c r="F123" s="3"/>
      <c r="G123" s="3"/>
    </row>
    <row r="124" spans="1:7" x14ac:dyDescent="0.25">
      <c r="A124" s="3"/>
      <c r="B124" s="3"/>
      <c r="C124" s="3"/>
      <c r="D124" s="3"/>
      <c r="E124" s="3"/>
      <c r="F124" s="3"/>
      <c r="G124" s="3"/>
    </row>
    <row r="125" spans="1:7" x14ac:dyDescent="0.25">
      <c r="E125" s="3"/>
      <c r="F125" s="3"/>
      <c r="G125" s="3"/>
    </row>
  </sheetData>
  <mergeCells count="41">
    <mergeCell ref="B46:D46"/>
    <mergeCell ref="B36:D36"/>
    <mergeCell ref="C23:D23"/>
    <mergeCell ref="B34:D34"/>
    <mergeCell ref="C30:D30"/>
    <mergeCell ref="C32:D32"/>
    <mergeCell ref="B28:D28"/>
    <mergeCell ref="B35:D35"/>
    <mergeCell ref="B45:D45"/>
    <mergeCell ref="C31:D31"/>
    <mergeCell ref="C33:D33"/>
    <mergeCell ref="C27:D27"/>
    <mergeCell ref="C4:D4"/>
    <mergeCell ref="C5:D5"/>
    <mergeCell ref="C16:D16"/>
    <mergeCell ref="C17:D17"/>
    <mergeCell ref="C7:D7"/>
    <mergeCell ref="C10:D10"/>
    <mergeCell ref="C13:D13"/>
    <mergeCell ref="C14:D14"/>
    <mergeCell ref="C20:D20"/>
    <mergeCell ref="C21:D21"/>
    <mergeCell ref="B15:D15"/>
    <mergeCell ref="B12:D12"/>
    <mergeCell ref="B9:D9"/>
    <mergeCell ref="C2:D2"/>
    <mergeCell ref="B1:B2"/>
    <mergeCell ref="B42:B43"/>
    <mergeCell ref="C43:D43"/>
    <mergeCell ref="B44:D44"/>
    <mergeCell ref="C11:D11"/>
    <mergeCell ref="C8:D8"/>
    <mergeCell ref="C6:D6"/>
    <mergeCell ref="C29:D29"/>
    <mergeCell ref="C24:D24"/>
    <mergeCell ref="C25:D25"/>
    <mergeCell ref="C26:D26"/>
    <mergeCell ref="C22:D22"/>
    <mergeCell ref="B3:D3"/>
    <mergeCell ref="C18:D18"/>
    <mergeCell ref="C19:D19"/>
  </mergeCells>
  <printOptions horizontalCentered="1"/>
  <pageMargins left="0.25" right="0.25" top="0.25" bottom="0.2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445"/>
  <sheetViews>
    <sheetView workbookViewId="0"/>
  </sheetViews>
  <sheetFormatPr defaultRowHeight="15" x14ac:dyDescent="0.25"/>
  <cols>
    <col min="1" max="1" width="61.28515625" customWidth="1"/>
    <col min="2" max="2" width="77.5703125" bestFit="1" customWidth="1"/>
    <col min="3" max="3" width="65.7109375" customWidth="1"/>
    <col min="4" max="4" width="42.7109375" bestFit="1" customWidth="1"/>
    <col min="5" max="5" width="81.7109375" customWidth="1"/>
    <col min="6" max="6" width="33.7109375" customWidth="1"/>
    <col min="7" max="7" width="31.5703125" bestFit="1" customWidth="1"/>
    <col min="8" max="8" width="20.5703125" customWidth="1"/>
    <col min="9" max="9" width="32.28515625" bestFit="1" customWidth="1"/>
    <col min="10" max="10" width="22.42578125" bestFit="1" customWidth="1"/>
    <col min="11" max="11" width="20.140625" bestFit="1" customWidth="1"/>
    <col min="12" max="12" width="24.140625" bestFit="1" customWidth="1"/>
  </cols>
  <sheetData>
    <row r="1" spans="1:12" x14ac:dyDescent="0.25">
      <c r="A1" s="1" t="s">
        <v>71</v>
      </c>
    </row>
    <row r="3" spans="1:12" x14ac:dyDescent="0.25">
      <c r="A3" s="1" t="s">
        <v>74</v>
      </c>
      <c r="B3" t="str">
        <f>FormatoABC!D1</f>
        <v>Seleccionar el tipo de movimiento.</v>
      </c>
    </row>
    <row r="5" spans="1:12" x14ac:dyDescent="0.25">
      <c r="A5" s="1" t="s">
        <v>28</v>
      </c>
      <c r="B5" s="12">
        <f ca="1">TODAY()</f>
        <v>45954</v>
      </c>
    </row>
    <row r="6" spans="1:12" x14ac:dyDescent="0.25">
      <c r="B6" s="12"/>
    </row>
    <row r="7" spans="1:12" x14ac:dyDescent="0.25">
      <c r="A7" s="1" t="s">
        <v>31</v>
      </c>
      <c r="B7" t="str">
        <f>IF(OR(B3="Alta de cuenta de usuario interno",B3="Alta de cuenta de usuario externo",B3="Alta de cuenta de servicio",B3="Baja de cuenta de usuario interno",B3="Cambio en cuenta de usuario interno",B3="Cambio en cuenta de usuario externo",B3="Cambio en cuenta de servicio"),CONCATENATE(C40," ", C41),C54)</f>
        <v/>
      </c>
    </row>
    <row r="8" spans="1:12" x14ac:dyDescent="0.25">
      <c r="A8" s="1" t="s">
        <v>27</v>
      </c>
      <c r="B8" t="str">
        <f>SUBSTITUTE(CONCATENATE(B3,"-",B7,"-",B25),".","")</f>
        <v>Seleccionar el tipo de movimiento--</v>
      </c>
      <c r="C8" t="str">
        <f>SUBSTITUTE(CONCATENATE(B3,"-",B7),".","")</f>
        <v>Seleccionar el tipo de movimiento-</v>
      </c>
    </row>
    <row r="9" spans="1:12" x14ac:dyDescent="0.25">
      <c r="A9" s="1"/>
    </row>
    <row r="10" spans="1:12" x14ac:dyDescent="0.25">
      <c r="B10" s="48" t="s">
        <v>151</v>
      </c>
      <c r="C10" s="48" t="s">
        <v>153</v>
      </c>
      <c r="D10" s="1" t="s">
        <v>68</v>
      </c>
      <c r="E10" s="1" t="s">
        <v>69</v>
      </c>
      <c r="F10" s="1" t="s">
        <v>145</v>
      </c>
      <c r="G10" s="48" t="s">
        <v>75</v>
      </c>
      <c r="H10" s="1" t="s">
        <v>152</v>
      </c>
      <c r="I10" s="48" t="s">
        <v>154</v>
      </c>
      <c r="J10" s="1" t="s">
        <v>68</v>
      </c>
      <c r="K10" s="1" t="s">
        <v>69</v>
      </c>
      <c r="L10" s="1" t="s">
        <v>145</v>
      </c>
    </row>
    <row r="11" spans="1:12" x14ac:dyDescent="0.25">
      <c r="A11" s="1" t="s">
        <v>72</v>
      </c>
      <c r="B11" s="74" t="str">
        <f>IF(C11=TRUE,"Formato completo","Formato incompleto")</f>
        <v>Formato incompleto</v>
      </c>
      <c r="C11" t="str">
        <f>_xlfn.IFNA(VLOOKUP(B3,A14:I22,9,0),"FALSE")</f>
        <v>FALSE</v>
      </c>
      <c r="D11" t="str">
        <f>_xlfn.IFNA(VLOOKUP(B3,A14:I22,7,0),"FALSE")</f>
        <v>FALSE</v>
      </c>
      <c r="E11" t="str">
        <f>_xlfn.IFNA(VLOOKUP(B3,A14:I22,8,0),"FALSE")</f>
        <v>FALSE</v>
      </c>
      <c r="F11" s="74" t="str">
        <f>IF(AND(D11="Formato incompleto",E11="Formato con errores"),"VE","0")</f>
        <v>0</v>
      </c>
      <c r="G11" s="74">
        <f>IF(OR(imp!A1= "Alta de cuenta de usuario interno",imp!A1= "Alta de cuenta de usuario externo",imp!A1= "Alta de cuenta de servicio",imp!A1= "Baja de cuenta de usuario interno",imp!A1= "Baja de cuenta de usuario externo",imp!A1= "Baja de cuenta de servicio",imp!A1= "Cambio en cuenta de usuario interno",imp!A1= "Cambio en cuenta de usuario externo",imp!A1= "Cambio en cuenta de servicio")=TRUE,1,0)</f>
        <v>1</v>
      </c>
      <c r="H11" t="str">
        <f>_xlfn.IFNA(VLOOKUP(B3,A14:L22,12,0),"FALSE")</f>
        <v>FALSE</v>
      </c>
      <c r="I11" t="str">
        <f>IF(H11=TRUE,"Formato completo","Formato incompleto")</f>
        <v>Formato incompleto</v>
      </c>
      <c r="J11" t="str">
        <f>_xlfn.IFNA(VLOOKUP(B3,A14:L22,10,0),"FALSE")</f>
        <v>FALSE</v>
      </c>
      <c r="K11" t="str">
        <f>_xlfn.IFNA(VLOOKUP(B3,A14:L22,11,0),"FALSE")</f>
        <v>FALSE</v>
      </c>
      <c r="L11" s="74" t="str">
        <f>IF(AND(J11="Formato incompleto",K11="Formato con errores"),"VE","0")</f>
        <v>0</v>
      </c>
    </row>
    <row r="12" spans="1:12" x14ac:dyDescent="0.25">
      <c r="A12" s="1"/>
      <c r="G12" s="187" t="s">
        <v>1243</v>
      </c>
      <c r="H12" s="187"/>
      <c r="I12" s="187"/>
      <c r="J12" s="187" t="s">
        <v>1244</v>
      </c>
      <c r="K12" s="187"/>
      <c r="L12" s="187"/>
    </row>
    <row r="13" spans="1:12" x14ac:dyDescent="0.25">
      <c r="A13" s="1" t="s">
        <v>1</v>
      </c>
      <c r="B13" s="1" t="s">
        <v>12</v>
      </c>
      <c r="C13" s="1" t="s">
        <v>19</v>
      </c>
      <c r="D13" s="1" t="s">
        <v>25</v>
      </c>
      <c r="E13" s="1" t="s">
        <v>61</v>
      </c>
      <c r="F13" s="1" t="s">
        <v>24</v>
      </c>
      <c r="G13" s="1" t="s">
        <v>68</v>
      </c>
      <c r="H13" s="1" t="s">
        <v>69</v>
      </c>
      <c r="I13" s="1" t="s">
        <v>150</v>
      </c>
      <c r="J13" s="1" t="s">
        <v>68</v>
      </c>
      <c r="K13" s="1" t="s">
        <v>69</v>
      </c>
      <c r="L13" s="1" t="s">
        <v>150</v>
      </c>
    </row>
    <row r="14" spans="1:12" ht="45" x14ac:dyDescent="0.25">
      <c r="A14" t="s">
        <v>32</v>
      </c>
      <c r="B14" t="s">
        <v>55</v>
      </c>
      <c r="C14" s="11" t="s">
        <v>157</v>
      </c>
      <c r="D14" t="s">
        <v>35</v>
      </c>
      <c r="E14" s="45">
        <v>0</v>
      </c>
      <c r="F14" s="45">
        <v>80</v>
      </c>
      <c r="G14" t="str">
        <f>IF(OR(FormatoABC!D4="",FormatoABC!D8="",FormatoABC!D9="",FormatoABC!D13="",FormatoABC!D14="",FormatoABC!D18="",FormatoABC!D19="",FormatoABC!D23="",FormatoABC!D24="",FormatoABC!D25="",FormatoABC!D26="",FormatoABC!D27="",FormatoABC!D28="",FormatoABC!D29="",FormatoABC!D30="",FormatoABC!D31="",FormatoABC!D35="",FormatoABC!D43=""),"Formato incompleto","Formato completo")</f>
        <v>Formato incompleto</v>
      </c>
      <c r="H14" t="str">
        <f>IF(AND(FormatoABC!H4="",FormatoABC!H8="",FormatoABC!H9="",FormatoABC!H13="",FormatoABC!H14="",FormatoABC!H18="",FormatoABC!H19="",FormatoABC!H23="",FormatoABC!H24="",FormatoABC!H25="",FormatoABC!H26="",FormatoABC!H27="",FormatoABC!H28="",FormatoABC!H29="",FormatoABC!H30="",FormatoABC!H31="",FormatoABC!H35="",FormatoABC!H42=""),"Formato sin errores","Formato con errores")</f>
        <v>Formato sin errores</v>
      </c>
      <c r="I14" t="b">
        <f>AND(G14="Formato completo",H14="Formato sin errores")</f>
        <v>0</v>
      </c>
      <c r="J14" t="str">
        <f>IF(OR(FormatoABC!D8="",FormatoABC!D9="",FormatoABC!D13="",FormatoABC!D14="",FormatoABC!D18="",FormatoABC!D19="",FormatoABC!D23="",FormatoABC!D24="",FormatoABC!D25="",FormatoABC!D26="",FormatoABC!D27="",FormatoABC!D28="",FormatoABC!D29="",FormatoABC!D30="",FormatoABC!D31="",FormatoABC!D35="",FormatoABC!D43=""),"Formato incompleto","Formato completo")</f>
        <v>Formato incompleto</v>
      </c>
      <c r="K14" t="str">
        <f>IF(AND(FormatoABC!H8="",FormatoABC!H9="",FormatoABC!H13="",FormatoABC!H14="",FormatoABC!H18="",FormatoABC!H19="",FormatoABC!H23="",FormatoABC!H24="",FormatoABC!H25="",FormatoABC!H26="",FormatoABC!H27="",FormatoABC!H28="",FormatoABC!H29="",FormatoABC!H30="",FormatoABC!H31="",FormatoABC!H35="",FormatoABC!H42=""),"Formato sin errores","Formato con errores")</f>
        <v>Formato sin errores</v>
      </c>
      <c r="L14" t="b">
        <f>AND(J14="Formato completo",K14="Formato sin errores")</f>
        <v>0</v>
      </c>
    </row>
    <row r="15" spans="1:12" ht="45" x14ac:dyDescent="0.25">
      <c r="A15" t="s">
        <v>33</v>
      </c>
      <c r="B15" t="s">
        <v>56</v>
      </c>
      <c r="C15" s="11" t="s">
        <v>1241</v>
      </c>
      <c r="D15" t="s">
        <v>35</v>
      </c>
      <c r="E15" s="45">
        <v>0</v>
      </c>
      <c r="F15" s="45">
        <v>100</v>
      </c>
      <c r="G15" t="str">
        <f>IF(OR(FormatoABC!D4="",FormatoABC!D8="",FormatoABC!D9="",FormatoABC!D13="",FormatoABC!D14="",FormatoABC!D18="",FormatoABC!D19="",FormatoABC!D23="",FormatoABC!D24="",FormatoABC!D25="",FormatoABC!D26="",FormatoABC!D27="",FormatoABC!D28="",FormatoABC!D29="",FormatoABC!D30="",FormatoABC!D31="",FormatoABC!D35="",FormatoABC!D36="",FormatoABC!D37="",FormatoABC!D38="",FormatoABC!D39="",FormatoABC!D43=""),"Formato incompleto","Formato completo")</f>
        <v>Formato incompleto</v>
      </c>
      <c r="H15" t="str">
        <f>IF(AND(FormatoABC!H4="",FormatoABC!H8="",FormatoABC!H9="",FormatoABC!H13="",FormatoABC!H14="",FormatoABC!H18="",FormatoABC!H19="",FormatoABC!H23="",FormatoABC!H24="",FormatoABC!H25="",FormatoABC!H26="",FormatoABC!H27="",FormatoABC!H28="",FormatoABC!H29="",FormatoABC!H30="",FormatoABC!H31="",FormatoABC!H35="",FormatoABC!H36="",FormatoABC!H37="",FormatoABC!H38="",FormatoABC!H39="",FormatoABC!H42=""),"Formato sin errores","Formato con errores")</f>
        <v>Formato sin errores</v>
      </c>
      <c r="I15" t="b">
        <f t="shared" ref="I15:I22" si="0">AND(G15="Formato completo",H15="Formato sin errores")</f>
        <v>0</v>
      </c>
      <c r="J15" t="str">
        <f>IF(OR(FormatoABC!D8="",FormatoABC!D9="",FormatoABC!D13="",FormatoABC!D14="",FormatoABC!D18="",FormatoABC!D19="",FormatoABC!D23="",FormatoABC!D24="",FormatoABC!D25="",FormatoABC!D26="",FormatoABC!D27="",FormatoABC!D28="",FormatoABC!D29="",FormatoABC!D30="",FormatoABC!D31="",FormatoABC!D35="",FormatoABC!D36="",FormatoABC!D37="",FormatoABC!D38="",FormatoABC!D39="",FormatoABC!D43=""),"Formato incompleto","Formato completo")</f>
        <v>Formato incompleto</v>
      </c>
      <c r="K15" t="str">
        <f>IF(AND(FormatoABC!H8="",FormatoABC!H9="",FormatoABC!H13="",FormatoABC!H14="",FormatoABC!H18="",FormatoABC!H19="",FormatoABC!H23="",FormatoABC!H24="",FormatoABC!H25="",FormatoABC!H26="",FormatoABC!H27="",FormatoABC!H28="",FormatoABC!H29="",FormatoABC!H30="",FormatoABC!H31="",FormatoABC!H35="",FormatoABC!H36="",FormatoABC!H37="",FormatoABC!H38="",FormatoABC!H39="",FormatoABC!H42=""),"Formato sin errores","Formato con errores")</f>
        <v>Formato sin errores</v>
      </c>
      <c r="L15" t="b">
        <f t="shared" ref="L15:L22" si="1">AND(J15="Formato completo",K15="Formato sin errores")</f>
        <v>0</v>
      </c>
    </row>
    <row r="16" spans="1:12" ht="45" x14ac:dyDescent="0.25">
      <c r="A16" t="s">
        <v>34</v>
      </c>
      <c r="B16" t="s">
        <v>55</v>
      </c>
      <c r="C16" s="11" t="s">
        <v>158</v>
      </c>
      <c r="D16" t="s">
        <v>35</v>
      </c>
      <c r="E16" s="45">
        <v>0</v>
      </c>
      <c r="F16" s="45">
        <v>120</v>
      </c>
      <c r="G16" t="str">
        <f>IF(OR(FormatoABC!D4="",FormatoABC!D8="",FormatoABC!D9="",FormatoABC!D13="",FormatoABC!D14="",FormatoABC!D18="",FormatoABC!D19="",FormatoABC!D23="",FormatoABC!D24="",FormatoABC!D25="",FormatoABC!D26="",FormatoABC!D27="",FormatoABC!D28="",FormatoABC!D29="",FormatoABC!D30="",FormatoABC!D31="",FormatoABC!D35="",FormatoABC!D37="",FormatoABC!D43=""),"Formato incompleto","Formato completo")</f>
        <v>Formato incompleto</v>
      </c>
      <c r="H16" t="str">
        <f>IF(AND(FormatoABC!H4="",FormatoABC!H8="",FormatoABC!H9="",FormatoABC!H13="",FormatoABC!H14="",FormatoABC!H18="",FormatoABC!H19="",FormatoABC!H23="",FormatoABC!H24="",FormatoABC!H25="",FormatoABC!H26="",FormatoABC!H27="",FormatoABC!H28="",FormatoABC!H29="",FormatoABC!H30="",FormatoABC!H31="",FormatoABC!H35="",FormatoABC!H37="",FormatoABC!H42=""),"Formato sin errores","Formato con errores")</f>
        <v>Formato sin errores</v>
      </c>
      <c r="I16" t="b">
        <f t="shared" si="0"/>
        <v>0</v>
      </c>
      <c r="J16" t="str">
        <f>IF(OR(FormatoABC!D8="",FormatoABC!D9="",FormatoABC!D13="",FormatoABC!D14="",FormatoABC!D18="",FormatoABC!D19="",FormatoABC!D23="",FormatoABC!D24="",FormatoABC!D25="",FormatoABC!D26="",FormatoABC!D27="",FormatoABC!D28="",FormatoABC!D29="",FormatoABC!D30="",FormatoABC!D31="",FormatoABC!D35="",FormatoABC!D37="",FormatoABC!D43=""),"Formato incompleto","Formato completo")</f>
        <v>Formato incompleto</v>
      </c>
      <c r="K16" t="str">
        <f>IF(AND(FormatoABC!H8="",FormatoABC!H9="",FormatoABC!H13="",FormatoABC!H14="",FormatoABC!H18="",FormatoABC!H19="",FormatoABC!H23="",FormatoABC!H24="",FormatoABC!H25="",FormatoABC!H26="",FormatoABC!H27="",FormatoABC!H28="",FormatoABC!H29="",FormatoABC!H30="",FormatoABC!H31="",FormatoABC!H35="",FormatoABC!H37="",FormatoABC!H42=""),"Formato sin errores","Formato con errores")</f>
        <v>Formato sin errores</v>
      </c>
      <c r="L16" t="b">
        <f t="shared" si="1"/>
        <v>0</v>
      </c>
    </row>
    <row r="17" spans="1:12" ht="30" x14ac:dyDescent="0.25">
      <c r="A17" t="s">
        <v>47</v>
      </c>
      <c r="B17" t="s">
        <v>55</v>
      </c>
      <c r="C17" s="11" t="s">
        <v>50</v>
      </c>
      <c r="D17" t="s">
        <v>26</v>
      </c>
      <c r="E17" s="45">
        <v>0</v>
      </c>
      <c r="F17" s="45">
        <v>200</v>
      </c>
      <c r="G17" s="11" t="str">
        <f>IF(OR(FormatoABC!D4="",FormatoABC!D8="",FormatoABC!D9="",FormatoABC!D13="",FormatoABC!D14="",FormatoABC!D18="",FormatoABC!D19="",FormatoABC!D23="",FormatoABC!D24="",FormatoABC!D25="",FormatoABC!D26="",FormatoABC!D27="",FormatoABC!D28="",FormatoABC!D29="",FormatoABC!D30="",FormatoABC!D31="",FormatoABC!D43=""),"Formato incompleto","Formato completo")</f>
        <v>Formato incompleto</v>
      </c>
      <c r="H17" s="11" t="str">
        <f>IF(AND(FormatoABC!H4="",FormatoABC!H8="",FormatoABC!H9="",FormatoABC!H13="",FormatoABC!H14="",FormatoABC!H18="",FormatoABC!H19="",FormatoABC!H23="",FormatoABC!H24="",FormatoABC!H25="",FormatoABC!H26="",FormatoABC!H27="",FormatoABC!H28="",FormatoABC!H29="",FormatoABC!H30="",FormatoABC!H31="",FormatoABC!H42=""),"Formato sin errores","Formato con errores")</f>
        <v>Formato sin errores</v>
      </c>
      <c r="I17" t="b">
        <f t="shared" si="0"/>
        <v>0</v>
      </c>
      <c r="J17" t="str">
        <f>IF(OR(FormatoABC!D8="",FormatoABC!D9="",FormatoABC!D13="",FormatoABC!D14="",FormatoABC!D18="",FormatoABC!D19="",FormatoABC!D23="",FormatoABC!D24="",FormatoABC!D25="",FormatoABC!D26="",FormatoABC!D27="",FormatoABC!D28="",FormatoABC!D29="",FormatoABC!D30="",FormatoABC!D31="",FormatoABC!D43=""),"Formato incompleto","Formato completo")</f>
        <v>Formato incompleto</v>
      </c>
      <c r="K17" t="str">
        <f>IF(AND(FormatoABC!H8="",FormatoABC!H9="",FormatoABC!H13="",FormatoABC!H14="",FormatoABC!H18="",FormatoABC!H19="",FormatoABC!H23="",FormatoABC!H24="",FormatoABC!H25="",FormatoABC!H26="",FormatoABC!H27="",FormatoABC!H28="",FormatoABC!H29="",FormatoABC!H30="",FormatoABC!H31="",FormatoABC!H42=""),"Formato sin errores","Formato con errores")</f>
        <v>Formato sin errores</v>
      </c>
      <c r="L17" t="b">
        <f t="shared" si="1"/>
        <v>0</v>
      </c>
    </row>
    <row r="18" spans="1:12" ht="45" x14ac:dyDescent="0.25">
      <c r="A18" t="s">
        <v>48</v>
      </c>
      <c r="B18" t="s">
        <v>63</v>
      </c>
      <c r="C18" s="11" t="s">
        <v>67</v>
      </c>
      <c r="D18" t="s">
        <v>26</v>
      </c>
      <c r="E18" s="45">
        <v>20</v>
      </c>
      <c r="F18" s="45">
        <v>200</v>
      </c>
      <c r="G18" s="11" t="str">
        <f>IF(OR(FormatoABC!D4="",FormatoABC!D8="",FormatoABC!D9="",FormatoABC!D13="",FormatoABC!D14="",FormatoABC!D18="",FormatoABC!D19="",FormatoABC!D23="",FormatoABC!D24="",FormatoABC!D25="",FormatoABC!D26="",FormatoABC!D27="",FormatoABC!D28="",FormatoABC!D43=""),"Formato incompleto","Formato completo")</f>
        <v>Formato incompleto</v>
      </c>
      <c r="H18" s="11" t="str">
        <f>IF(AND(FormatoABC!H4="",FormatoABC!H8="",FormatoABC!H9="",FormatoABC!H13="",FormatoABC!H14="",FormatoABC!H18="",FormatoABC!H19="",FormatoABC!H23="",FormatoABC!H24="",FormatoABC!H25="",FormatoABC!H26="",FormatoABC!H27="",FormatoABC!H28="",FormatoABC!H42=""),"Formato sin errores","Formato con errores")</f>
        <v>Formato sin errores</v>
      </c>
      <c r="I18" t="b">
        <f t="shared" si="0"/>
        <v>0</v>
      </c>
      <c r="J18" t="str">
        <f>IF(OR(FormatoABC!D8="",FormatoABC!D9="",FormatoABC!D13="",FormatoABC!D14="",FormatoABC!D18="",FormatoABC!D19="",FormatoABC!D23="",FormatoABC!D24="",FormatoABC!D25="",FormatoABC!D26="",FormatoABC!D27="",FormatoABC!D28="",FormatoABC!D43=""),"Formato incompleto","Formato completo")</f>
        <v>Formato incompleto</v>
      </c>
      <c r="K18" t="str">
        <f>IF(AND(FormatoABC!H8="",FormatoABC!H9="",FormatoABC!H13="",FormatoABC!H14="",FormatoABC!H18="",FormatoABC!H19="",FormatoABC!H23="",FormatoABC!H24="",FormatoABC!H25="",FormatoABC!H26="",FormatoABC!H27="",FormatoABC!H28="",FormatoABC!H42=""),"Formato sin errores","Formato con errores")</f>
        <v>Formato sin errores</v>
      </c>
      <c r="L18" t="b">
        <f t="shared" si="1"/>
        <v>0</v>
      </c>
    </row>
    <row r="19" spans="1:12" ht="30" x14ac:dyDescent="0.25">
      <c r="A19" t="s">
        <v>53</v>
      </c>
      <c r="B19" t="s">
        <v>62</v>
      </c>
      <c r="C19" s="11" t="s">
        <v>66</v>
      </c>
      <c r="D19" t="s">
        <v>26</v>
      </c>
      <c r="E19" s="45">
        <v>40</v>
      </c>
      <c r="F19" s="45">
        <v>200</v>
      </c>
      <c r="G19" s="11" t="str">
        <f>IF(OR(FormatoABC!D4="",FormatoABC!D8="",FormatoABC!D9="",FormatoABC!D13="",FormatoABC!D14="",FormatoABC!D18="",FormatoABC!D19="",FormatoABC!D23="",FormatoABC!D24="",FormatoABC!D25="",FormatoABC!D26="",FormatoABC!D43=""),"Formato incompleto","Formato completo")</f>
        <v>Formato incompleto</v>
      </c>
      <c r="H19" s="11" t="str">
        <f>IF(AND(FormatoABC!H4="",FormatoABC!H8="",FormatoABC!H9="",FormatoABC!H13="",FormatoABC!H14="",FormatoABC!H18="",FormatoABC!H19="",FormatoABC!H23="",FormatoABC!H24="",FormatoABC!H25="",FormatoABC!H26="",FormatoABC!H42=""),"Formato sin errores","Formato con errores")</f>
        <v>Formato sin errores</v>
      </c>
      <c r="I19" t="b">
        <f t="shared" si="0"/>
        <v>0</v>
      </c>
      <c r="J19" t="str">
        <f>IF(OR(FormatoABC!D8="",FormatoABC!D9="",FormatoABC!D13="",FormatoABC!D14="",FormatoABC!D18="",FormatoABC!D19="",FormatoABC!D23="",FormatoABC!D24="",FormatoABC!D25="",FormatoABC!D26="",FormatoABC!D43=""),"Formato incompleto","Formato completo")</f>
        <v>Formato incompleto</v>
      </c>
      <c r="K19" t="str">
        <f>IF(AND(FormatoABC!H8="",FormatoABC!H9="",FormatoABC!H13="",FormatoABC!H14="",FormatoABC!H18="",FormatoABC!H19="",FormatoABC!H23="",FormatoABC!H24="",FormatoABC!H25="",FormatoABC!H26="",FormatoABC!H42=""),"Formato sin errores","Formato con errores")</f>
        <v>Formato sin errores</v>
      </c>
      <c r="L19" t="b">
        <f t="shared" si="1"/>
        <v>0</v>
      </c>
    </row>
    <row r="20" spans="1:12" ht="30" x14ac:dyDescent="0.25">
      <c r="A20" t="s">
        <v>49</v>
      </c>
      <c r="B20" t="s">
        <v>55</v>
      </c>
      <c r="C20" s="11" t="s">
        <v>1239</v>
      </c>
      <c r="D20" t="s">
        <v>26</v>
      </c>
      <c r="E20" s="45">
        <v>0</v>
      </c>
      <c r="F20" s="45">
        <v>80</v>
      </c>
      <c r="G20" s="11" t="str">
        <f>IF(OR(FormatoABC!D4="",FormatoABC!D8="",FormatoABC!D9="",FormatoABC!D13="",FormatoABC!D14="",FormatoABC!D18="",FormatoABC!D19="",FormatoABC!D23="",FormatoABC!D24="",FormatoABC!D25="",FormatoABC!D26="",FormatoABC!D27="",FormatoABC!D28="",FormatoABC!D29="",FormatoABC!D30="",FormatoABC!D31="",FormatoABC!D43=""),"Formato incompleto","Formato completo")</f>
        <v>Formato incompleto</v>
      </c>
      <c r="H20" s="11" t="str">
        <f>IF(AND(FormatoABC!H4="",FormatoABC!H8="",FormatoABC!H9="",FormatoABC!H13="",FormatoABC!H14="",FormatoABC!H18="",FormatoABC!H19="",FormatoABC!H23="",FormatoABC!H24="",FormatoABC!H25="",FormatoABC!H26="",FormatoABC!H27="",FormatoABC!H28="",FormatoABC!H29="",FormatoABC!H30="",FormatoABC!H31="",FormatoABC!H42=""),"Formato sin errores","Formato con errores")</f>
        <v>Formato sin errores</v>
      </c>
      <c r="I20" t="b">
        <f t="shared" si="0"/>
        <v>0</v>
      </c>
      <c r="J20" t="str">
        <f>IF(OR(FormatoABC!D8="",FormatoABC!D9="",FormatoABC!D13="",FormatoABC!D14="",FormatoABC!D18="",FormatoABC!D19="",FormatoABC!D23="",FormatoABC!D24="",FormatoABC!D25="",FormatoABC!D26="",FormatoABC!D27="",FormatoABC!D28="",FormatoABC!D29="",FormatoABC!D30="",FormatoABC!D31="",FormatoABC!D43=""),"Formato incompleto","Formato completo")</f>
        <v>Formato incompleto</v>
      </c>
      <c r="K20" t="str">
        <f>IF(AND(FormatoABC!H8="",FormatoABC!H9="",FormatoABC!H13="",FormatoABC!H14="",FormatoABC!H18="",FormatoABC!H19="",FormatoABC!H23="",FormatoABC!H24="",FormatoABC!H25="",FormatoABC!H26="",FormatoABC!H27="",FormatoABC!H28="",FormatoABC!H29="",FormatoABC!H30="",FormatoABC!H31="",FormatoABC!H42=""),"Formato sin errores","Formato con errores")</f>
        <v>Formato sin errores</v>
      </c>
      <c r="L20" t="b">
        <f t="shared" si="1"/>
        <v>0</v>
      </c>
    </row>
    <row r="21" spans="1:12" ht="45" x14ac:dyDescent="0.25">
      <c r="A21" t="s">
        <v>51</v>
      </c>
      <c r="B21" t="s">
        <v>56</v>
      </c>
      <c r="C21" s="11" t="s">
        <v>1242</v>
      </c>
      <c r="D21" t="s">
        <v>35</v>
      </c>
      <c r="E21" s="45">
        <v>0</v>
      </c>
      <c r="F21" s="45">
        <v>100</v>
      </c>
      <c r="G21" s="11" t="str">
        <f>IF(OR(FormatoABC!D4="",FormatoABC!D8="",FormatoABC!D9="",FormatoABC!D13="",FormatoABC!D14="",FormatoABC!D18="",FormatoABC!D19="",FormatoABC!D23="",FormatoABC!D24="",FormatoABC!D25="",FormatoABC!D26="",FormatoABC!D27="",FormatoABC!D28="",FormatoABC!D29="",FormatoABC!D30="",FormatoABC!D31="",FormatoABC!D36="",FormatoABC!D37="",FormatoABC!D38="",FormatoABC!D39="",FormatoABC!D43=""),"Formato incompleto","Formato completo")</f>
        <v>Formato incompleto</v>
      </c>
      <c r="H21" s="11" t="str">
        <f>IF(AND(FormatoABC!H4="",FormatoABC!H8="",FormatoABC!H9="",FormatoABC!H13="",FormatoABC!H14="",FormatoABC!H18="",FormatoABC!H19="",FormatoABC!H23="",FormatoABC!H24="",FormatoABC!H25="",FormatoABC!H26="",FormatoABC!H27="",FormatoABC!H28="",FormatoABC!H29="",FormatoABC!H30="",FormatoABC!H31="",FormatoABC!H36="",FormatoABC!H37="",FormatoABC!H38="",FormatoABC!H39="",FormatoABC!H42=""),"Formato sin errores","Formato con errores")</f>
        <v>Formato sin errores</v>
      </c>
      <c r="I21" t="b">
        <f t="shared" si="0"/>
        <v>0</v>
      </c>
      <c r="J21" t="str">
        <f>IF(OR(FormatoABC!D8="",FormatoABC!D9="",FormatoABC!D13="",FormatoABC!D14="",FormatoABC!D18="",FormatoABC!D19="",FormatoABC!D23="",FormatoABC!D24="",FormatoABC!D25="",FormatoABC!D26="",FormatoABC!D27="",FormatoABC!D28="",FormatoABC!D29="",FormatoABC!D30="",FormatoABC!D31="",FormatoABC!D36="",FormatoABC!D37="",FormatoABC!D38="",FormatoABC!D39="",FormatoABC!D43=""),"Formato incompleto","Formato completo")</f>
        <v>Formato incompleto</v>
      </c>
      <c r="K21" t="str">
        <f>IF(AND(FormatoABC!H8="",FormatoABC!H9="",FormatoABC!H13="",FormatoABC!H14="",FormatoABC!H18="",FormatoABC!H19="",FormatoABC!H23="",FormatoABC!H24="",FormatoABC!H25="",FormatoABC!H26="",FormatoABC!H27="",FormatoABC!H28="",FormatoABC!H29="",FormatoABC!H30="",FormatoABC!H31="",FormatoABC!H36="",FormatoABC!H37="",FormatoABC!H38="",FormatoABC!H39="",FormatoABC!H42=""),"Formato sin errores","Formato con errores")</f>
        <v>Formato sin errores</v>
      </c>
      <c r="L21" t="b">
        <f t="shared" si="1"/>
        <v>0</v>
      </c>
    </row>
    <row r="22" spans="1:12" ht="45" x14ac:dyDescent="0.25">
      <c r="A22" t="s">
        <v>54</v>
      </c>
      <c r="B22" t="s">
        <v>55</v>
      </c>
      <c r="C22" s="11" t="s">
        <v>1240</v>
      </c>
      <c r="D22" t="s">
        <v>35</v>
      </c>
      <c r="E22" s="45">
        <v>0</v>
      </c>
      <c r="F22" s="45">
        <v>120</v>
      </c>
      <c r="G22" s="11" t="str">
        <f>IF(OR(FormatoABC!D4="",FormatoABC!D8="",FormatoABC!D9="",FormatoABC!D13="",FormatoABC!D14="",FormatoABC!D18="",FormatoABC!D19="",FormatoABC!D23="",FormatoABC!D24="",FormatoABC!D25="",FormatoABC!D26="",FormatoABC!D27="",FormatoABC!D28="",FormatoABC!D29="",FormatoABC!D30="",FormatoABC!D31="",FormatoABC!D37="",FormatoABC!D43=""),"Formato incompleto","Formato completo")</f>
        <v>Formato incompleto</v>
      </c>
      <c r="H22" s="11" t="str">
        <f>IF(AND(FormatoABC!H4="",FormatoABC!H8="",FormatoABC!H9="",FormatoABC!H13="",FormatoABC!H14="",FormatoABC!H18="",FormatoABC!H19="",FormatoABC!H23="",FormatoABC!H24="",FormatoABC!H25="",FormatoABC!H26="",FormatoABC!H27="",FormatoABC!H28="",FormatoABC!H29="",FormatoABC!H30="",FormatoABC!H31="",FormatoABC!H37="",FormatoABC!H42=""),"Formato sin errores","Formato con errores")</f>
        <v>Formato sin errores</v>
      </c>
      <c r="I22" t="b">
        <f t="shared" si="0"/>
        <v>0</v>
      </c>
      <c r="J22" t="str">
        <f>IF(OR(FormatoABC!D8="",FormatoABC!D9="",FormatoABC!D13="",FormatoABC!D14="",FormatoABC!D18="",FormatoABC!D19="",FormatoABC!D23="",FormatoABC!D24="",FormatoABC!D25="",FormatoABC!D26="",FormatoABC!D27="",FormatoABC!D28="",FormatoABC!D29="",FormatoABC!D30="",FormatoABC!D31="",FormatoABC!D37="",FormatoABC!D43=""),"Formato incompleto","Formato completo")</f>
        <v>Formato incompleto</v>
      </c>
      <c r="K22" t="str">
        <f>IF(AND(FormatoABC!H8="",FormatoABC!H9="",FormatoABC!H13="",FormatoABC!H14="",FormatoABC!H18="",FormatoABC!H19="",FormatoABC!H23="",FormatoABC!H24="",FormatoABC!H25="",FormatoABC!H26="",FormatoABC!H27="",FormatoABC!H28="",FormatoABC!H29="",FormatoABC!H30="",FormatoABC!H31="",FormatoABC!H37="",FormatoABC!H42=""),"Formato sin errores","Formato con errores")</f>
        <v>Formato sin errores</v>
      </c>
      <c r="L22" t="b">
        <f t="shared" si="1"/>
        <v>0</v>
      </c>
    </row>
    <row r="24" spans="1:12" x14ac:dyDescent="0.25">
      <c r="A24" s="1" t="s">
        <v>11</v>
      </c>
      <c r="D24" s="48"/>
    </row>
    <row r="25" spans="1:12" x14ac:dyDescent="0.25">
      <c r="A25" t="s">
        <v>73</v>
      </c>
      <c r="B25" s="13" t="str">
        <f>IF(FormatoABC!D4&lt;&gt;"",FormatoABC!D4,"")</f>
        <v/>
      </c>
    </row>
    <row r="26" spans="1:12" x14ac:dyDescent="0.25">
      <c r="A26" t="s">
        <v>93</v>
      </c>
      <c r="B26" s="13" t="str">
        <f>SUBSTITUTE(SUBSTITUTE(SUBSTITUTE(SUBSTITUTE(SUBSTITUTE(SUBSTITUTE(SUBSTITUTE(PROPER(TRIM(FormatoABC!D8))," Y "," y ")," De "," de ")," La "," la ")," Del "," del ")," Los "," los ")," E "," e ")," A "," a ")</f>
        <v/>
      </c>
    </row>
    <row r="27" spans="1:12" x14ac:dyDescent="0.25">
      <c r="A27" t="s">
        <v>92</v>
      </c>
      <c r="B27">
        <f>FormatoABC!D9</f>
        <v>0</v>
      </c>
    </row>
    <row r="28" spans="1:12" x14ac:dyDescent="0.25">
      <c r="A28" t="s">
        <v>15</v>
      </c>
      <c r="B28" t="str">
        <f>SUBSTITUTE(SUBSTITUTE(SUBSTITUTE(SUBSTITUTE(SUBSTITUTE(SUBSTITUTE(SUBSTITUTE(PROPER(TRIM(FormatoABC!D13))," Y "," y ")," De "," de ")," La "," la ")," Del "," del ")," Los "," los ")," E "," e ")," A "," a ")</f>
        <v/>
      </c>
    </row>
    <row r="29" spans="1:12" x14ac:dyDescent="0.25">
      <c r="A29" t="s">
        <v>10</v>
      </c>
      <c r="B29" t="str">
        <f>SUBSTITUTE(SUBSTITUTE(SUBSTITUTE(SUBSTITUTE(SUBSTITUTE(SUBSTITUTE(SUBSTITUTE(PROPER(TRIM(FormatoABC!D14))," Y "," y ")," De "," de ")," La "," la ")," Del "," del ")," Los "," los ")," E "," e ")," A "," a ")</f>
        <v/>
      </c>
    </row>
    <row r="32" spans="1:12" x14ac:dyDescent="0.25">
      <c r="A32" s="1" t="s">
        <v>21</v>
      </c>
      <c r="D32" s="48"/>
    </row>
    <row r="33" spans="1:5" x14ac:dyDescent="0.25">
      <c r="A33" t="s">
        <v>16</v>
      </c>
      <c r="B33" t="str">
        <f>SUBSTITUTE(SUBSTITUTE(SUBSTITUTE(SUBSTITUTE(SUBSTITUTE(SUBSTITUTE(SUBSTITUTE(PROPER(TRIM(FormatoABC!D18))," Y "," y ")," De "," de ")," La "," la ")," Del "," del ")," Los "," los ")," E "," e ")," A "," a ")</f>
        <v/>
      </c>
    </row>
    <row r="34" spans="1:5" x14ac:dyDescent="0.25">
      <c r="A34" t="s">
        <v>17</v>
      </c>
      <c r="B34" t="str">
        <f>SUBSTITUTE(SUBSTITUTE(SUBSTITUTE(SUBSTITUTE(SUBSTITUTE(SUBSTITUTE(SUBSTITUTE(PROPER(TRIM(FormatoABC!D19))," Y "," y ")," De "," de ")," La "," la ")," Del "," del ")," Los "," los ")," E "," e ")," A "," a ")</f>
        <v/>
      </c>
    </row>
    <row r="36" spans="1:5" x14ac:dyDescent="0.25">
      <c r="A36" s="1" t="s">
        <v>61</v>
      </c>
      <c r="B36" t="e">
        <f>VLOOKUP(B3,A14:B22,2,0)</f>
        <v>#N/A</v>
      </c>
    </row>
    <row r="37" spans="1:5" x14ac:dyDescent="0.25">
      <c r="A37" s="1"/>
    </row>
    <row r="38" spans="1:5" x14ac:dyDescent="0.25">
      <c r="A38" s="1" t="s">
        <v>1253</v>
      </c>
      <c r="B38" s="48" t="s">
        <v>85</v>
      </c>
      <c r="C38" s="48" t="s">
        <v>87</v>
      </c>
      <c r="D38" s="48" t="s">
        <v>86</v>
      </c>
      <c r="E38" s="48" t="s">
        <v>87</v>
      </c>
    </row>
    <row r="39" spans="1:5" x14ac:dyDescent="0.25">
      <c r="A39">
        <v>0</v>
      </c>
      <c r="B39" t="s">
        <v>84</v>
      </c>
      <c r="C39" t="str">
        <f>FormatoABC!D23</f>
        <v>Seleccionar una opción.</v>
      </c>
      <c r="D39" t="s">
        <v>14</v>
      </c>
      <c r="E39" t="str">
        <f t="shared" ref="E39:E46" si="2">C40</f>
        <v/>
      </c>
    </row>
    <row r="40" spans="1:5" x14ac:dyDescent="0.25">
      <c r="A40">
        <v>1</v>
      </c>
      <c r="B40" t="s">
        <v>14</v>
      </c>
      <c r="C40" t="str">
        <f>SUBSTITUTE(SUBSTITUTE(SUBSTITUTE(SUBSTITUTE(SUBSTITUTE(SUBSTITUTE(SUBSTITUTE(PROPER(TRIM(FormatoABC!D24))," Y "," y ")," De "," de ")," La "," la ")," Del "," del ")," Los "," los ")," E "," e ")," A "," a ")</f>
        <v/>
      </c>
      <c r="D40" t="s">
        <v>20</v>
      </c>
      <c r="E40" t="str">
        <f t="shared" si="2"/>
        <v/>
      </c>
    </row>
    <row r="41" spans="1:5" x14ac:dyDescent="0.25">
      <c r="A41">
        <v>2</v>
      </c>
      <c r="B41" t="s">
        <v>20</v>
      </c>
      <c r="C41" t="str">
        <f>SUBSTITUTE(SUBSTITUTE(SUBSTITUTE(SUBSTITUTE(SUBSTITUTE(SUBSTITUTE(SUBSTITUTE(PROPER(TRIM(FormatoABC!D25))," Y "," y ")," De "," de ")," La "," la ")," Del "," del ")," Los "," los ")," E "," e ")," A "," a ")</f>
        <v/>
      </c>
      <c r="D41" t="s">
        <v>4</v>
      </c>
      <c r="E41" t="str">
        <f t="shared" si="2"/>
        <v/>
      </c>
    </row>
    <row r="42" spans="1:5" x14ac:dyDescent="0.25">
      <c r="A42">
        <v>3</v>
      </c>
      <c r="B42" t="s">
        <v>4</v>
      </c>
      <c r="C42" t="str">
        <f>SUBSTITUTE(SUBSTITUTE(SUBSTITUTE(SUBSTITUTE(SUBSTITUTE(SUBSTITUTE(SUBSTITUTE(PROPER(TRIM(FormatoABC!D26))," Y "," y ")," De "," de ")," La "," la ")," Del "," del ")," Los "," los ")," E "," e ")," A "," a ")</f>
        <v/>
      </c>
      <c r="D42" t="str">
        <f>B43</f>
        <v>Dirección o Subdirección:</v>
      </c>
      <c r="E42" t="str">
        <f t="shared" si="2"/>
        <v/>
      </c>
    </row>
    <row r="43" spans="1:5" x14ac:dyDescent="0.25">
      <c r="A43">
        <v>4</v>
      </c>
      <c r="B43" t="str">
        <f>IF(OR(C128= "Oficinas Centrales - Insurgentes Sur No. 2416, Col. Copilco El Bajo, Alc. Coyoacán, C.P. 04340, CDMX.",C128= "Oficinas Centrales - Av. Adolfo López Mateos S/N, Vaso Regulador “El Cristo”, Tlalnepantla de Baz, Estado de México.",C128= "Oficinas Centrales - Av. San Bernabé No. 549, Col. San Jerónimo Lídice, Alcaldía la Magdalena Contreras, C.P. 10200, CDMX.",C128= "Oficinas Centrales - Centro de Visitantes del Parque Ecológico Lago de Texcoco – Kilómetro 7.5 de la Autopista Peñón – Texcoco, Estado de México.",C128= "Oficinas Centrales - Fernando Villalpando No. 110, P.B., Col. Guadalupe Inn, Alc. Álvaro Obregón, C.P. 01020. CDMX.",C128="Coordinación General del Servicio Meteorológico Nacional - Av. Observatorio 192, Col. Observatorio, Alcaldía Miguel Hidalgo, C.P. 11860, CDMX."),"Unidad Administrativa:","Dirección o Subdirección:")</f>
        <v>Dirección o Subdirección:</v>
      </c>
      <c r="C43" t="str">
        <f>SUBSTITUTE(SUBSTITUTE(SUBSTITUTE(SUBSTITUTE(SUBSTITUTE(SUBSTITUTE(SUBSTITUTE(PROPER(TRIM(FormatoABC!D27))," Y "," y ")," De "," de ")," La "," la ")," Del "," del ")," Los "," los ")," E "," e ")," A "," a ")</f>
        <v/>
      </c>
      <c r="D43" t="s">
        <v>13</v>
      </c>
      <c r="E43" t="str">
        <f t="shared" si="2"/>
        <v/>
      </c>
    </row>
    <row r="44" spans="1:5" x14ac:dyDescent="0.25">
      <c r="A44">
        <v>5</v>
      </c>
      <c r="B44" t="s">
        <v>13</v>
      </c>
      <c r="C44" t="str">
        <f>SUBSTITUTE(SUBSTITUTE(SUBSTITUTE(SUBSTITUTE(SUBSTITUTE(SUBSTITUTE(SUBSTITUTE(PROPER(TRIM(FormatoABC!D28))," Y "," y ")," De "," de ")," La "," la ")," Del "," del ")," Los "," los ")," E "," e ")," A "," a ")</f>
        <v/>
      </c>
      <c r="D44" t="s">
        <v>2</v>
      </c>
      <c r="E44" t="str">
        <f t="shared" si="2"/>
        <v/>
      </c>
    </row>
    <row r="45" spans="1:5" x14ac:dyDescent="0.25">
      <c r="A45">
        <v>6</v>
      </c>
      <c r="B45" t="s">
        <v>2</v>
      </c>
      <c r="C45" t="str">
        <f>UPPER(FormatoABC!D29)</f>
        <v/>
      </c>
      <c r="D45" t="s">
        <v>3</v>
      </c>
      <c r="E45" t="str">
        <f t="shared" si="2"/>
        <v/>
      </c>
    </row>
    <row r="46" spans="1:5" x14ac:dyDescent="0.25">
      <c r="A46">
        <v>7</v>
      </c>
      <c r="B46" t="s">
        <v>3</v>
      </c>
      <c r="C46" t="str">
        <f>UPPER(FormatoABC!D30)</f>
        <v/>
      </c>
      <c r="D46" t="s">
        <v>18</v>
      </c>
      <c r="E46">
        <f t="shared" si="2"/>
        <v>0</v>
      </c>
    </row>
    <row r="47" spans="1:5" x14ac:dyDescent="0.25">
      <c r="A47">
        <v>8</v>
      </c>
      <c r="B47" t="s">
        <v>18</v>
      </c>
      <c r="C47">
        <f>FormatoABC!D31</f>
        <v>0</v>
      </c>
      <c r="D47" t="s">
        <v>41</v>
      </c>
      <c r="E47" t="e">
        <f>VLOOKUP($C$39,$A$130:$E$437,2,0)</f>
        <v>#N/A</v>
      </c>
    </row>
    <row r="48" spans="1:5" x14ac:dyDescent="0.25">
      <c r="A48">
        <v>9</v>
      </c>
      <c r="D48" t="s">
        <v>40</v>
      </c>
      <c r="E48" t="e">
        <f>VLOOKUP($C$39,$A$130:$E$437,3,0)</f>
        <v>#N/A</v>
      </c>
    </row>
    <row r="49" spans="1:5" x14ac:dyDescent="0.25">
      <c r="A49">
        <v>10</v>
      </c>
      <c r="D49" t="s">
        <v>43</v>
      </c>
      <c r="E49" t="e">
        <f>VLOOKUP($C$39,$A$130:$E$437,4,0)</f>
        <v>#N/A</v>
      </c>
    </row>
    <row r="50" spans="1:5" x14ac:dyDescent="0.25">
      <c r="A50">
        <v>11</v>
      </c>
      <c r="D50" t="s">
        <v>5</v>
      </c>
      <c r="E50" t="e">
        <f>VLOOKUP($C$39,$A$130:$E$437,5,0)</f>
        <v>#N/A</v>
      </c>
    </row>
    <row r="51" spans="1:5" x14ac:dyDescent="0.25">
      <c r="A51" s="1" t="s">
        <v>1254</v>
      </c>
    </row>
    <row r="52" spans="1:5" x14ac:dyDescent="0.25">
      <c r="A52" s="21">
        <v>20</v>
      </c>
      <c r="B52" t="s">
        <v>84</v>
      </c>
      <c r="C52" t="str">
        <f>FormatoABC!D23</f>
        <v>Seleccionar una opción.</v>
      </c>
      <c r="D52" t="s">
        <v>45</v>
      </c>
      <c r="E52" t="str">
        <f>C53</f>
        <v/>
      </c>
    </row>
    <row r="53" spans="1:5" x14ac:dyDescent="0.25">
      <c r="A53" s="21">
        <v>21</v>
      </c>
      <c r="B53" t="s">
        <v>45</v>
      </c>
      <c r="C53" t="str">
        <f>SUBSTITUTE(SUBSTITUTE(SUBSTITUTE(SUBSTITUTE(SUBSTITUTE(SUBSTITUTE(SUBSTITUTE(PROPER(TRIM(FormatoABC!D24))," Y "," y ")," De "," de ")," La "," la ")," Del "," del ")," Los "," los ")," E "," e ")," A "," a ")</f>
        <v/>
      </c>
      <c r="D53" t="s">
        <v>60</v>
      </c>
      <c r="E53" t="str">
        <f>C54</f>
        <v/>
      </c>
    </row>
    <row r="54" spans="1:5" x14ac:dyDescent="0.25">
      <c r="A54" s="21">
        <v>22</v>
      </c>
      <c r="B54" t="s">
        <v>60</v>
      </c>
      <c r="C54" t="str">
        <f>SUBSTITUTE(SUBSTITUTE(SUBSTITUTE(SUBSTITUTE(SUBSTITUTE(SUBSTITUTE(SUBSTITUTE(PROPER(TRIM(FormatoABC!D25))," Y "," y ")," De "," de ")," La "," la ")," Del "," del ")," Los "," los ")," E "," e ")," A "," a ")</f>
        <v/>
      </c>
      <c r="D54" t="s">
        <v>65</v>
      </c>
      <c r="E54" t="str">
        <f>C55</f>
        <v/>
      </c>
    </row>
    <row r="55" spans="1:5" x14ac:dyDescent="0.25">
      <c r="A55" s="21">
        <v>23</v>
      </c>
      <c r="B55" t="s">
        <v>65</v>
      </c>
      <c r="C55" t="str">
        <f>SUBSTITUTE(SUBSTITUTE(SUBSTITUTE(SUBSTITUTE(SUBSTITUTE(SUBSTITUTE(SUBSTITUTE(PROPER(TRIM(FormatoABC!D26))," Y "," y ")," De "," de ")," La "," la ")," Del "," del ")," Los "," los ")," E "," e ")," A "," a ")</f>
        <v/>
      </c>
      <c r="D55" t="s">
        <v>57</v>
      </c>
      <c r="E55" t="str">
        <f>C56</f>
        <v/>
      </c>
    </row>
    <row r="56" spans="1:5" x14ac:dyDescent="0.25">
      <c r="A56" s="21">
        <v>24</v>
      </c>
      <c r="B56" t="s">
        <v>57</v>
      </c>
      <c r="C56" t="str">
        <f>SUBSTITUTE(SUBSTITUTE(SUBSTITUTE(SUBSTITUTE(SUBSTITUTE(SUBSTITUTE(SUBSTITUTE(PROPER(TRIM(FormatoABC!D27))," Y "," y ")," De "," de ")," La "," la ")," Del "," del ")," Los "," los ")," E "," e ")," A "," a ")</f>
        <v/>
      </c>
      <c r="D56" t="s">
        <v>58</v>
      </c>
      <c r="E56" t="str">
        <f>C57</f>
        <v/>
      </c>
    </row>
    <row r="57" spans="1:5" x14ac:dyDescent="0.25">
      <c r="A57" s="21">
        <v>25</v>
      </c>
      <c r="B57" t="s">
        <v>58</v>
      </c>
      <c r="C57" t="str">
        <f>SUBSTITUTE(SUBSTITUTE(SUBSTITUTE(SUBSTITUTE(SUBSTITUTE(SUBSTITUTE(SUBSTITUTE(PROPER(TRIM(FormatoABC!D28))," Y "," y ")," De "," de ")," La "," la ")," Del "," del ")," Los "," los ")," E "," e ")," A "," a ")</f>
        <v/>
      </c>
      <c r="D57" t="s">
        <v>41</v>
      </c>
      <c r="E57" t="e">
        <f>VLOOKUP($C$52,$A$130:$E$437,2,0)</f>
        <v>#N/A</v>
      </c>
    </row>
    <row r="58" spans="1:5" x14ac:dyDescent="0.25">
      <c r="A58" s="21">
        <v>26</v>
      </c>
      <c r="B58" t="s">
        <v>149</v>
      </c>
      <c r="C58" t="s">
        <v>149</v>
      </c>
      <c r="D58" t="s">
        <v>40</v>
      </c>
      <c r="E58" t="e">
        <f>VLOOKUP($C$52,$A$130:$E$437,3,0)</f>
        <v>#N/A</v>
      </c>
    </row>
    <row r="59" spans="1:5" x14ac:dyDescent="0.25">
      <c r="A59" s="21">
        <v>27</v>
      </c>
      <c r="B59" t="s">
        <v>149</v>
      </c>
      <c r="C59" t="s">
        <v>149</v>
      </c>
      <c r="D59" t="s">
        <v>43</v>
      </c>
      <c r="E59" t="e">
        <f>VLOOKUP($C$52,$A$130:$E$437,4,0)</f>
        <v>#N/A</v>
      </c>
    </row>
    <row r="60" spans="1:5" x14ac:dyDescent="0.25">
      <c r="A60" s="21">
        <v>28</v>
      </c>
      <c r="B60" t="s">
        <v>149</v>
      </c>
      <c r="C60" t="s">
        <v>149</v>
      </c>
      <c r="D60" t="s">
        <v>149</v>
      </c>
      <c r="E60" t="s">
        <v>149</v>
      </c>
    </row>
    <row r="61" spans="1:5" x14ac:dyDescent="0.25">
      <c r="A61" s="21">
        <v>29</v>
      </c>
      <c r="B61" t="s">
        <v>149</v>
      </c>
      <c r="C61" t="s">
        <v>149</v>
      </c>
      <c r="D61" t="s">
        <v>149</v>
      </c>
      <c r="E61" t="s">
        <v>149</v>
      </c>
    </row>
    <row r="62" spans="1:5" x14ac:dyDescent="0.25">
      <c r="A62" s="21">
        <v>30</v>
      </c>
      <c r="B62" t="s">
        <v>149</v>
      </c>
      <c r="C62" t="s">
        <v>149</v>
      </c>
      <c r="D62" t="s">
        <v>149</v>
      </c>
      <c r="E62" t="s">
        <v>149</v>
      </c>
    </row>
    <row r="63" spans="1:5" x14ac:dyDescent="0.25">
      <c r="A63" s="21">
        <v>31</v>
      </c>
      <c r="B63" t="s">
        <v>149</v>
      </c>
      <c r="C63" t="s">
        <v>149</v>
      </c>
      <c r="D63" t="s">
        <v>5</v>
      </c>
      <c r="E63" t="e">
        <f>VLOOKUP($C$52,$A$130:$E$437,5,0)</f>
        <v>#N/A</v>
      </c>
    </row>
    <row r="64" spans="1:5" x14ac:dyDescent="0.25">
      <c r="A64" s="1" t="s">
        <v>1255</v>
      </c>
      <c r="D64" s="48"/>
    </row>
    <row r="65" spans="1:5" x14ac:dyDescent="0.25">
      <c r="A65" s="21">
        <v>40</v>
      </c>
      <c r="B65" t="s">
        <v>84</v>
      </c>
      <c r="C65" t="str">
        <f>FormatoABC!D23</f>
        <v>Seleccionar una opción.</v>
      </c>
      <c r="D65" t="s">
        <v>22</v>
      </c>
      <c r="E65" t="str">
        <f>C66</f>
        <v/>
      </c>
    </row>
    <row r="66" spans="1:5" x14ac:dyDescent="0.25">
      <c r="A66" s="21">
        <v>41</v>
      </c>
      <c r="B66" t="s">
        <v>22</v>
      </c>
      <c r="C66" t="str">
        <f>SUBSTITUTE(SUBSTITUTE(SUBSTITUTE(SUBSTITUTE(SUBSTITUTE(SUBSTITUTE(SUBSTITUTE(PROPER(TRIM(FormatoABC!D24))," Y "," y ")," De "," de ")," La "," la ")," Del "," del ")," Los "," los ")," E "," e ")," A "," a ")</f>
        <v/>
      </c>
      <c r="D66" t="s">
        <v>57</v>
      </c>
      <c r="E66" t="str">
        <f t="shared" ref="E66:E67" si="3">C67</f>
        <v/>
      </c>
    </row>
    <row r="67" spans="1:5" x14ac:dyDescent="0.25">
      <c r="A67" s="21">
        <v>42</v>
      </c>
      <c r="B67" t="s">
        <v>57</v>
      </c>
      <c r="C67" t="str">
        <f>SUBSTITUTE(SUBSTITUTE(SUBSTITUTE(SUBSTITUTE(SUBSTITUTE(SUBSTITUTE(SUBSTITUTE(PROPER(TRIM(FormatoABC!D25))," Y "," y ")," De "," de ")," La "," la ")," Del "," del ")," Los "," los ")," E "," e ")," A "," a ")</f>
        <v/>
      </c>
      <c r="D67" t="s">
        <v>58</v>
      </c>
      <c r="E67" t="str">
        <f t="shared" si="3"/>
        <v/>
      </c>
    </row>
    <row r="68" spans="1:5" x14ac:dyDescent="0.25">
      <c r="A68" s="21">
        <v>43</v>
      </c>
      <c r="B68" t="s">
        <v>58</v>
      </c>
      <c r="C68" t="str">
        <f>SUBSTITUTE(SUBSTITUTE(SUBSTITUTE(SUBSTITUTE(SUBSTITUTE(SUBSTITUTE(SUBSTITUTE(PROPER(TRIM(FormatoABC!D26))," Y "," y ")," De "," de ")," La "," la ")," Del "," del ")," Los "," los ")," E "," e ")," A "," a ")</f>
        <v/>
      </c>
      <c r="D68" t="s">
        <v>41</v>
      </c>
      <c r="E68" t="e">
        <f>VLOOKUP($C$65,$A$130:$E$437,2,0)</f>
        <v>#N/A</v>
      </c>
    </row>
    <row r="69" spans="1:5" x14ac:dyDescent="0.25">
      <c r="A69" s="21">
        <v>44</v>
      </c>
      <c r="B69" t="s">
        <v>149</v>
      </c>
      <c r="C69" t="s">
        <v>149</v>
      </c>
      <c r="D69" t="s">
        <v>40</v>
      </c>
      <c r="E69" t="e">
        <f>VLOOKUP($C$65,$A$130:$E$437,3,0)</f>
        <v>#N/A</v>
      </c>
    </row>
    <row r="70" spans="1:5" x14ac:dyDescent="0.25">
      <c r="A70" s="21">
        <v>45</v>
      </c>
      <c r="B70" t="s">
        <v>149</v>
      </c>
      <c r="C70" t="s">
        <v>149</v>
      </c>
      <c r="D70" t="s">
        <v>43</v>
      </c>
      <c r="E70" t="e">
        <f>VLOOKUP($C$65,$A$130:$E$437,4,0)</f>
        <v>#N/A</v>
      </c>
    </row>
    <row r="71" spans="1:5" x14ac:dyDescent="0.25">
      <c r="A71" s="21">
        <v>46</v>
      </c>
      <c r="B71" t="s">
        <v>149</v>
      </c>
      <c r="C71" t="s">
        <v>149</v>
      </c>
      <c r="D71" t="s">
        <v>149</v>
      </c>
      <c r="E71" t="s">
        <v>149</v>
      </c>
    </row>
    <row r="72" spans="1:5" x14ac:dyDescent="0.25">
      <c r="A72" s="21">
        <v>47</v>
      </c>
      <c r="B72" t="s">
        <v>149</v>
      </c>
      <c r="C72" t="s">
        <v>149</v>
      </c>
      <c r="D72" t="s">
        <v>149</v>
      </c>
      <c r="E72" t="s">
        <v>149</v>
      </c>
    </row>
    <row r="73" spans="1:5" x14ac:dyDescent="0.25">
      <c r="A73" s="21">
        <v>48</v>
      </c>
      <c r="B73" t="s">
        <v>149</v>
      </c>
      <c r="C73" t="s">
        <v>149</v>
      </c>
      <c r="D73" t="s">
        <v>149</v>
      </c>
      <c r="E73" t="s">
        <v>149</v>
      </c>
    </row>
    <row r="74" spans="1:5" x14ac:dyDescent="0.25">
      <c r="A74" s="21">
        <v>49</v>
      </c>
      <c r="B74" t="s">
        <v>149</v>
      </c>
      <c r="C74" t="s">
        <v>149</v>
      </c>
      <c r="D74" t="s">
        <v>149</v>
      </c>
      <c r="E74" t="s">
        <v>149</v>
      </c>
    </row>
    <row r="75" spans="1:5" x14ac:dyDescent="0.25">
      <c r="A75" s="21">
        <v>50</v>
      </c>
      <c r="B75" t="s">
        <v>149</v>
      </c>
      <c r="C75" t="s">
        <v>149</v>
      </c>
      <c r="D75" t="s">
        <v>149</v>
      </c>
      <c r="E75" t="s">
        <v>149</v>
      </c>
    </row>
    <row r="76" spans="1:5" x14ac:dyDescent="0.25">
      <c r="A76" s="21">
        <v>51</v>
      </c>
      <c r="B76" t="s">
        <v>149</v>
      </c>
      <c r="C76" t="s">
        <v>149</v>
      </c>
      <c r="D76" t="s">
        <v>5</v>
      </c>
      <c r="E76" t="e">
        <f>VLOOKUP($C$65,$A$130:$E$437,5,0)</f>
        <v>#N/A</v>
      </c>
    </row>
    <row r="77" spans="1:5" x14ac:dyDescent="0.25">
      <c r="A77" s="21"/>
    </row>
    <row r="78" spans="1:5" x14ac:dyDescent="0.25">
      <c r="A78" s="1" t="s">
        <v>24</v>
      </c>
      <c r="B78" t="e">
        <f>VLOOKUP(B3,A14:D22,4,0)</f>
        <v>#N/A</v>
      </c>
    </row>
    <row r="79" spans="1:5" x14ac:dyDescent="0.25">
      <c r="A79" s="1"/>
    </row>
    <row r="80" spans="1:5" x14ac:dyDescent="0.25">
      <c r="A80" s="1" t="s">
        <v>32</v>
      </c>
      <c r="D80" s="48"/>
    </row>
    <row r="81" spans="1:4" x14ac:dyDescent="0.25">
      <c r="A81">
        <v>80</v>
      </c>
      <c r="B81" t="str">
        <f>IF(B3="Alta de cuenta de usuario interno","Inicio de actividades (DD/MM/AAAA):","")</f>
        <v/>
      </c>
      <c r="C81" s="18" t="str">
        <f>IF(FormatoABC!D35="","",FormatoABC!D35)</f>
        <v/>
      </c>
    </row>
    <row r="82" spans="1:4" x14ac:dyDescent="0.25">
      <c r="C82" s="18"/>
    </row>
    <row r="84" spans="1:4" x14ac:dyDescent="0.25">
      <c r="A84" s="1" t="s">
        <v>33</v>
      </c>
    </row>
    <row r="85" spans="1:4" x14ac:dyDescent="0.25">
      <c r="A85">
        <v>100</v>
      </c>
      <c r="B85" t="str">
        <f>IF(B3="Alta de cuenta de usuario externo","Inicio de actividades (DD/MM/AAAA):","")</f>
        <v/>
      </c>
      <c r="C85" s="18" t="str">
        <f>IF(FormatoABC!D35="","",FormatoABC!D35)</f>
        <v/>
      </c>
    </row>
    <row r="86" spans="1:4" x14ac:dyDescent="0.25">
      <c r="A86">
        <v>101</v>
      </c>
      <c r="B86" t="s">
        <v>59</v>
      </c>
      <c r="C86" s="18" t="str">
        <f>IF(FormatoABC!D36="","",FormatoABC!D36)</f>
        <v/>
      </c>
      <c r="D86" t="str">
        <f>TEXT(C86,"DD/MM/AAAA")</f>
        <v/>
      </c>
    </row>
    <row r="87" spans="1:4" x14ac:dyDescent="0.25">
      <c r="A87">
        <v>102</v>
      </c>
      <c r="B87" t="s">
        <v>45</v>
      </c>
      <c r="C87" s="18" t="str">
        <f>SUBSTITUTE(SUBSTITUTE(SUBSTITUTE(SUBSTITUTE(SUBSTITUTE(SUBSTITUTE(SUBSTITUTE(PROPER(TRIM(FormatoABC!D37))," Y "," y ")," De "," de ")," La "," la ")," Del "," del ")," Los "," los ")," E "," e ")," A "," a ")</f>
        <v/>
      </c>
    </row>
    <row r="88" spans="1:4" x14ac:dyDescent="0.25">
      <c r="A88">
        <v>103</v>
      </c>
      <c r="B88" t="s">
        <v>57</v>
      </c>
      <c r="C88" s="18" t="str">
        <f>SUBSTITUTE(SUBSTITUTE(SUBSTITUTE(SUBSTITUTE(SUBSTITUTE(SUBSTITUTE(SUBSTITUTE(PROPER(TRIM(FormatoABC!D38))," Y "," y ")," De "," de ")," La "," la ")," Del "," del ")," Los "," los ")," E "," e ")," A "," a ")</f>
        <v/>
      </c>
    </row>
    <row r="89" spans="1:4" x14ac:dyDescent="0.25">
      <c r="A89">
        <v>104</v>
      </c>
      <c r="B89" t="s">
        <v>58</v>
      </c>
      <c r="C89" s="18" t="str">
        <f>SUBSTITUTE(SUBSTITUTE(SUBSTITUTE(SUBSTITUTE(SUBSTITUTE(SUBSTITUTE(SUBSTITUTE(PROPER(TRIM(FormatoABC!D39))," Y "," y ")," De "," de ")," La "," la ")," Del "," del ")," Los "," los ")," E "," e ")," A "," a ")</f>
        <v/>
      </c>
    </row>
    <row r="91" spans="1:4" x14ac:dyDescent="0.25">
      <c r="A91" s="1" t="s">
        <v>34</v>
      </c>
    </row>
    <row r="92" spans="1:4" x14ac:dyDescent="0.25">
      <c r="A92" s="21">
        <v>120</v>
      </c>
      <c r="B92" t="str">
        <f>IF(B3="Alta de cuenta de servicio","Inicio de actividades (DD/MM/AAAA):","")</f>
        <v/>
      </c>
      <c r="C92" s="18" t="str">
        <f>IF(FormatoABC!D35="","",FormatoABC!D35)</f>
        <v/>
      </c>
    </row>
    <row r="93" spans="1:4" x14ac:dyDescent="0.25">
      <c r="A93" s="21"/>
      <c r="C93" s="13"/>
    </row>
    <row r="94" spans="1:4" x14ac:dyDescent="0.25">
      <c r="A94" s="21">
        <v>122</v>
      </c>
      <c r="B94" t="s">
        <v>22</v>
      </c>
      <c r="C94" s="18" t="str">
        <f>SUBSTITUTE(SUBSTITUTE(SUBSTITUTE(SUBSTITUTE(SUBSTITUTE(SUBSTITUTE(SUBSTITUTE(PROPER(TRIM(FormatoABC!D37))," Y "," y ")," De "," de ")," La "," la ")," Del "," del ")," Los "," los ")," E "," e ")," A "," a ")</f>
        <v/>
      </c>
    </row>
    <row r="95" spans="1:4" x14ac:dyDescent="0.25">
      <c r="A95" s="21"/>
    </row>
    <row r="96" spans="1:4" x14ac:dyDescent="0.25">
      <c r="A96" s="1" t="s">
        <v>38</v>
      </c>
    </row>
    <row r="98" spans="1:3" x14ac:dyDescent="0.25">
      <c r="A98" t="s">
        <v>8</v>
      </c>
      <c r="B98" t="s">
        <v>6</v>
      </c>
      <c r="C98" t="s">
        <v>9</v>
      </c>
    </row>
    <row r="99" spans="1:3" x14ac:dyDescent="0.25">
      <c r="A99" t="str">
        <f>B7</f>
        <v/>
      </c>
      <c r="B99" t="str">
        <f>B28</f>
        <v/>
      </c>
      <c r="C99" t="str">
        <f>B33</f>
        <v/>
      </c>
    </row>
    <row r="100" spans="1:3" x14ac:dyDescent="0.25">
      <c r="A100" t="str">
        <f>C42</f>
        <v/>
      </c>
      <c r="B100" t="str">
        <f>B29</f>
        <v/>
      </c>
      <c r="C100" t="str">
        <f>B34</f>
        <v/>
      </c>
    </row>
    <row r="102" spans="1:3" x14ac:dyDescent="0.25">
      <c r="A102" s="1" t="s">
        <v>44</v>
      </c>
    </row>
    <row r="103" spans="1:3" x14ac:dyDescent="0.25">
      <c r="A103" s="1"/>
    </row>
    <row r="104" spans="1:3" x14ac:dyDescent="0.25">
      <c r="A104" t="str">
        <f>IF(OR(B3="Alta de cuenta de usuario externo",B3="Baja de cuenta de usuario externo",B3="Cambio en cuenta de usuario externo"),"Usuario(a) del servicio.","")</f>
        <v/>
      </c>
      <c r="B104" t="str">
        <f>IF(OR(B3="Alta de cuenta de usuario interno",B3="Alta de cuenta de servicio",B3="Baja de cuenta de usuario interno",B3="Baja de cuenta de servicio",B3="Cambio en cuenta de usuario interno",B3="Cambio en cuenta de servicio"),"Usuario(a) del servicio.","")</f>
        <v/>
      </c>
      <c r="C104" t="str">
        <f>IF(OR(B3="Alta de cuenta de usuario externo",B3="Baja de cuenta de usuario externo",B3="Cambio en cuenta de usuario externo"),"Empleado(a) responsable de la CONAGUA","")</f>
        <v/>
      </c>
    </row>
    <row r="105" spans="1:3" x14ac:dyDescent="0.25">
      <c r="A105" t="str">
        <f>IF(OR(B3="Alta de cuenta de usuario externo",B3="Baja de cuenta de usuario externo",B3="Cambio en cuenta de usuario externo"),"He leído y acepto la normativa vigente.","")</f>
        <v/>
      </c>
      <c r="B105" t="str">
        <f>IF(OR(B3="Alta de cuenta de usuario interno",B3="Alta de cuenta de servicio",B3="Baja de cuenta de usuario interno",B3="Baja de cuenta de servicio",B3="Cambio en cuenta de usuario interno",B3="Cambio en cuenta de servicio"),"He leído y acepto la normativa vigente.","")</f>
        <v/>
      </c>
    </row>
    <row r="106" spans="1:3" x14ac:dyDescent="0.25">
      <c r="A106" t="str">
        <f>IF(OR(B3="Alta de cuenta de usuario externo",B3="Baja de cuenta de usuario externo",B3="Cambio en cuenta de usuario externo"),B7,"")</f>
        <v/>
      </c>
      <c r="B106" t="str">
        <f>IF(OR(B3="Alta de cuenta de usuario interno",B3="Alta de cuenta de servicio",B3="Baja de cuenta de usuario interno",B3="Baja de cuenta de servicio",B3="Cambio en cuenta de usuario interno",B3="Cambio en cuenta de servicio"),B7,"")</f>
        <v/>
      </c>
      <c r="C106" t="str">
        <f>IF(OR(B3="Alta de cuenta de usuario externo",B3="Cambio en cuenta de usuario externo"),C88,IF(B3="Baja de cuenta de usuario externo",C56,""))</f>
        <v/>
      </c>
    </row>
    <row r="107" spans="1:3" x14ac:dyDescent="0.25">
      <c r="A107" t="str">
        <f>IF(OR(B3="Alta de cuenta de usuario externo",B3="Baja de cuenta de usuario externo",B3="Cambio en cuenta de usuario externo"),C42,"")</f>
        <v/>
      </c>
      <c r="B107" t="str">
        <f>IF(OR(B3="Alta de cuenta de usuario interno",B3="Alta de cuenta de servicio",B3="Baja de cuenta de usuario interno",B3="Baja de cuenta de servicio",B3="Cambio en cuenta de usuario interno",B3="Cambio en cuenta de servicio"),C42,"")</f>
        <v/>
      </c>
      <c r="C107" t="str">
        <f>IF(OR(B3="Alta de cuenta de usuario externo",B3="Cambio en cuenta de usuario externo"),C89,IF(B3="Baja de cuenta de usuario externo",C57,""))</f>
        <v/>
      </c>
    </row>
    <row r="109" spans="1:3" x14ac:dyDescent="0.25">
      <c r="A109" s="1" t="s">
        <v>36</v>
      </c>
    </row>
    <row r="111" spans="1:3" x14ac:dyDescent="0.25">
      <c r="A111" s="1" t="s">
        <v>37</v>
      </c>
      <c r="B111" s="11" t="str">
        <f>_xlfn.IFNA(VLOOKUP(FormatoABC!C42,prgm!A114:B126,2,0),"")</f>
        <v/>
      </c>
    </row>
    <row r="112" spans="1:3" x14ac:dyDescent="0.25">
      <c r="A112" s="1" t="s">
        <v>7</v>
      </c>
      <c r="B112" s="11">
        <f>FormatoABC!D43</f>
        <v>0</v>
      </c>
    </row>
    <row r="114" spans="1:3" ht="30" x14ac:dyDescent="0.25">
      <c r="A114" s="11" t="s">
        <v>155</v>
      </c>
      <c r="B114" s="11" t="str">
        <f>SUBSTITUTE(SUBSTITUTE(CONCATENATE("Se requiere el alta de la cuenta en Directorio Activo y Exchange, para que el usuario realice funciones de ",C42,", en (la) ",C44,". ","Se solicita usuario y correo institucional."),"..","."),".,",",")</f>
        <v>Se requiere el alta de la cuenta en Directorio Activo y Exchange, para que el usuario realice funciones de , en (la) . Se solicita usuario y correo institucional.</v>
      </c>
    </row>
    <row r="115" spans="1:3" ht="45" x14ac:dyDescent="0.25">
      <c r="A115" s="11" t="s">
        <v>52</v>
      </c>
      <c r="B115" s="11" t="s">
        <v>164</v>
      </c>
      <c r="C115" s="11"/>
    </row>
    <row r="116" spans="1:3" ht="30" x14ac:dyDescent="0.25">
      <c r="A116" s="11" t="s">
        <v>1256</v>
      </c>
      <c r="B116" s="11" t="s">
        <v>1257</v>
      </c>
    </row>
    <row r="117" spans="1:3" ht="30" x14ac:dyDescent="0.25">
      <c r="A117" s="11" t="s">
        <v>39</v>
      </c>
      <c r="B117" s="11" t="s">
        <v>46</v>
      </c>
    </row>
    <row r="118" spans="1:3" ht="30" x14ac:dyDescent="0.25">
      <c r="A118" s="11" t="s">
        <v>1141</v>
      </c>
      <c r="B118" s="11" t="s">
        <v>1142</v>
      </c>
    </row>
    <row r="119" spans="1:3" x14ac:dyDescent="0.25">
      <c r="A119" s="11" t="s">
        <v>1260</v>
      </c>
      <c r="B119" s="11" t="s">
        <v>1263</v>
      </c>
    </row>
    <row r="120" spans="1:3" x14ac:dyDescent="0.25">
      <c r="A120" s="11" t="s">
        <v>1261</v>
      </c>
      <c r="B120" s="11" t="s">
        <v>1264</v>
      </c>
    </row>
    <row r="121" spans="1:3" x14ac:dyDescent="0.25">
      <c r="A121" s="11" t="s">
        <v>1262</v>
      </c>
      <c r="B121" s="11" t="s">
        <v>1265</v>
      </c>
    </row>
    <row r="122" spans="1:3" x14ac:dyDescent="0.25">
      <c r="A122" s="11" t="s">
        <v>1266</v>
      </c>
      <c r="B122" s="11" t="s">
        <v>1273</v>
      </c>
    </row>
    <row r="123" spans="1:3" x14ac:dyDescent="0.25">
      <c r="A123" s="11" t="s">
        <v>42</v>
      </c>
      <c r="B123" s="11" t="str">
        <f>CONCATENATE("Se requiere modificar la vigencia de la cuenta a la siguiente fecha: ",D86)</f>
        <v xml:space="preserve">Se requiere modificar la vigencia de la cuenta a la siguiente fecha: </v>
      </c>
    </row>
    <row r="124" spans="1:3" x14ac:dyDescent="0.25">
      <c r="A124" s="11" t="s">
        <v>1248</v>
      </c>
      <c r="B124" s="11" t="s">
        <v>1245</v>
      </c>
    </row>
    <row r="125" spans="1:3" x14ac:dyDescent="0.25">
      <c r="A125" s="11" t="s">
        <v>1249</v>
      </c>
      <c r="B125" s="11" t="s">
        <v>1246</v>
      </c>
    </row>
    <row r="126" spans="1:3" x14ac:dyDescent="0.25">
      <c r="A126" s="11" t="s">
        <v>1247</v>
      </c>
      <c r="B126" s="11" t="s">
        <v>1250</v>
      </c>
    </row>
    <row r="128" spans="1:3" x14ac:dyDescent="0.25">
      <c r="A128" s="52" t="s">
        <v>76</v>
      </c>
      <c r="B128" t="str">
        <f>IF(OR(C128= "Oficinas Centrales - Insurgentes Sur No. 2416, Col. Copilco El Bajo, Alc. Coyoacán, C.P. 04340, CDMX.",C128= "Oficinas Centrales - Av. Adolfo López Mateos S/N, Vaso Regulador “El Cristo”, Tlalnepantla de Baz, Estado de México.",C128= "Oficinas Centrales - Av. San Bernabé No. 549, Col. San Jerónimo Lídice, Alcaldía la Magdalena Contreras, C.P. 10200, CDMX.",C128= "Oficinas Centrales - Centro de Visitantes del Parque Ecológico Lago de Texcoco – Kilómetro 7.5 de la Autopista Peñón – Texcoco, Estado de México.",C128= "Oficinas Centrales - Fernando Villalpando No. 110, P.B., Col. Guadalupe Inn, Alc. Álvaro Obregón, C.P. 01020. CDMX."),"Oficinas Centrales","DLOC")</f>
        <v>DLOC</v>
      </c>
      <c r="C128" t="str">
        <f>FormatoABC!D23</f>
        <v>Seleccionar una opción.</v>
      </c>
    </row>
    <row r="129" spans="1:7" x14ac:dyDescent="0.25">
      <c r="A129" s="73" t="s">
        <v>82</v>
      </c>
      <c r="B129" s="74" t="s">
        <v>80</v>
      </c>
      <c r="C129" s="74" t="s">
        <v>79</v>
      </c>
      <c r="D129" s="74" t="s">
        <v>81</v>
      </c>
      <c r="E129" s="74" t="s">
        <v>78</v>
      </c>
    </row>
    <row r="130" spans="1:7" x14ac:dyDescent="0.25">
      <c r="A130" s="131" t="s">
        <v>670</v>
      </c>
      <c r="B130" s="102" t="s">
        <v>77</v>
      </c>
      <c r="C130" s="102" t="s">
        <v>77</v>
      </c>
      <c r="D130" s="101" t="s">
        <v>162</v>
      </c>
      <c r="E130" s="131" t="s">
        <v>656</v>
      </c>
      <c r="G130" s="11"/>
    </row>
    <row r="131" spans="1:7" x14ac:dyDescent="0.25">
      <c r="A131" s="131" t="s">
        <v>671</v>
      </c>
      <c r="B131" s="102" t="s">
        <v>168</v>
      </c>
      <c r="C131" s="102" t="s">
        <v>111</v>
      </c>
      <c r="D131" s="132">
        <v>54090</v>
      </c>
      <c r="E131" s="131" t="s">
        <v>657</v>
      </c>
      <c r="G131" s="11"/>
    </row>
    <row r="132" spans="1:7" x14ac:dyDescent="0.25">
      <c r="A132" s="131" t="s">
        <v>748</v>
      </c>
      <c r="B132" s="102" t="s">
        <v>77</v>
      </c>
      <c r="C132" s="102" t="s">
        <v>77</v>
      </c>
      <c r="D132" s="101">
        <v>10200</v>
      </c>
      <c r="E132" s="131" t="s">
        <v>749</v>
      </c>
      <c r="G132" s="11"/>
    </row>
    <row r="133" spans="1:7" x14ac:dyDescent="0.25">
      <c r="A133" s="131" t="s">
        <v>672</v>
      </c>
      <c r="B133" s="133" t="s">
        <v>169</v>
      </c>
      <c r="C133" s="102" t="s">
        <v>111</v>
      </c>
      <c r="D133" s="132">
        <v>56267</v>
      </c>
      <c r="E133" s="131" t="s">
        <v>658</v>
      </c>
      <c r="G133" s="11"/>
    </row>
    <row r="134" spans="1:7" x14ac:dyDescent="0.25">
      <c r="A134" s="131" t="s">
        <v>750</v>
      </c>
      <c r="B134" s="102" t="s">
        <v>77</v>
      </c>
      <c r="C134" s="102" t="s">
        <v>77</v>
      </c>
      <c r="D134" s="101" t="s">
        <v>170</v>
      </c>
      <c r="E134" s="131" t="s">
        <v>751</v>
      </c>
      <c r="G134" s="11"/>
    </row>
    <row r="135" spans="1:7" x14ac:dyDescent="0.25">
      <c r="A135" s="131" t="s">
        <v>673</v>
      </c>
      <c r="B135" s="102" t="s">
        <v>77</v>
      </c>
      <c r="C135" s="102" t="s">
        <v>77</v>
      </c>
      <c r="D135" s="101">
        <v>11860</v>
      </c>
      <c r="E135" s="131" t="s">
        <v>659</v>
      </c>
      <c r="G135" s="11"/>
    </row>
    <row r="136" spans="1:7" x14ac:dyDescent="0.25">
      <c r="A136" s="131" t="s">
        <v>752</v>
      </c>
      <c r="B136" s="102" t="s">
        <v>83</v>
      </c>
      <c r="C136" s="102" t="s">
        <v>83</v>
      </c>
      <c r="D136" s="134">
        <v>20270</v>
      </c>
      <c r="E136" s="131" t="s">
        <v>753</v>
      </c>
      <c r="G136" s="11"/>
    </row>
    <row r="137" spans="1:7" x14ac:dyDescent="0.25">
      <c r="A137" s="131" t="s">
        <v>754</v>
      </c>
      <c r="B137" s="102" t="s">
        <v>174</v>
      </c>
      <c r="C137" s="102" t="s">
        <v>83</v>
      </c>
      <c r="D137" s="134" t="s">
        <v>173</v>
      </c>
      <c r="E137" s="131" t="s">
        <v>755</v>
      </c>
      <c r="G137" s="11"/>
    </row>
    <row r="138" spans="1:7" x14ac:dyDescent="0.25">
      <c r="A138" s="131" t="s">
        <v>1238</v>
      </c>
      <c r="B138" s="102" t="s">
        <v>83</v>
      </c>
      <c r="C138" s="102" t="s">
        <v>83</v>
      </c>
      <c r="D138" s="134" t="s">
        <v>171</v>
      </c>
      <c r="E138" s="131" t="s">
        <v>1146</v>
      </c>
      <c r="G138" s="11"/>
    </row>
    <row r="139" spans="1:7" x14ac:dyDescent="0.25">
      <c r="A139" s="131" t="s">
        <v>1147</v>
      </c>
      <c r="B139" s="102" t="s">
        <v>83</v>
      </c>
      <c r="C139" s="102" t="s">
        <v>83</v>
      </c>
      <c r="D139" s="134" t="s">
        <v>172</v>
      </c>
      <c r="E139" s="131" t="s">
        <v>1148</v>
      </c>
      <c r="G139" s="11"/>
    </row>
    <row r="140" spans="1:7" x14ac:dyDescent="0.25">
      <c r="A140" s="131" t="s">
        <v>1149</v>
      </c>
      <c r="B140" s="102" t="s">
        <v>176</v>
      </c>
      <c r="C140" s="102" t="s">
        <v>83</v>
      </c>
      <c r="D140" s="134" t="s">
        <v>175</v>
      </c>
      <c r="E140" s="131" t="s">
        <v>1150</v>
      </c>
      <c r="G140" s="11"/>
    </row>
    <row r="141" spans="1:7" x14ac:dyDescent="0.25">
      <c r="A141" s="131" t="s">
        <v>674</v>
      </c>
      <c r="B141" s="102" t="s">
        <v>178</v>
      </c>
      <c r="C141" s="102" t="s">
        <v>96</v>
      </c>
      <c r="D141" s="134" t="s">
        <v>177</v>
      </c>
      <c r="E141" s="131" t="s">
        <v>179</v>
      </c>
      <c r="G141" s="11"/>
    </row>
    <row r="142" spans="1:7" x14ac:dyDescent="0.25">
      <c r="A142" s="131" t="s">
        <v>756</v>
      </c>
      <c r="B142" s="102" t="s">
        <v>757</v>
      </c>
      <c r="C142" s="102" t="s">
        <v>96</v>
      </c>
      <c r="D142" s="134" t="s">
        <v>181</v>
      </c>
      <c r="E142" s="131" t="s">
        <v>1151</v>
      </c>
      <c r="G142" s="11"/>
    </row>
    <row r="143" spans="1:7" x14ac:dyDescent="0.25">
      <c r="A143" s="131" t="s">
        <v>758</v>
      </c>
      <c r="B143" s="102" t="s">
        <v>95</v>
      </c>
      <c r="C143" s="102" t="s">
        <v>96</v>
      </c>
      <c r="D143" s="134" t="s">
        <v>184</v>
      </c>
      <c r="E143" s="131" t="s">
        <v>759</v>
      </c>
      <c r="G143" s="11"/>
    </row>
    <row r="144" spans="1:7" x14ac:dyDescent="0.25">
      <c r="A144" s="131" t="s">
        <v>760</v>
      </c>
      <c r="B144" s="102" t="s">
        <v>95</v>
      </c>
      <c r="C144" s="102" t="s">
        <v>96</v>
      </c>
      <c r="D144" s="134" t="s">
        <v>183</v>
      </c>
      <c r="E144" s="131" t="s">
        <v>761</v>
      </c>
      <c r="G144" s="11"/>
    </row>
    <row r="145" spans="1:7" x14ac:dyDescent="0.25">
      <c r="A145" s="131" t="s">
        <v>1152</v>
      </c>
      <c r="B145" s="102" t="s">
        <v>762</v>
      </c>
      <c r="C145" s="102" t="s">
        <v>96</v>
      </c>
      <c r="D145" s="134" t="s">
        <v>185</v>
      </c>
      <c r="E145" s="131" t="s">
        <v>763</v>
      </c>
      <c r="G145" s="11"/>
    </row>
    <row r="146" spans="1:7" x14ac:dyDescent="0.25">
      <c r="A146" s="131" t="s">
        <v>764</v>
      </c>
      <c r="B146" s="102" t="s">
        <v>762</v>
      </c>
      <c r="C146" s="102" t="s">
        <v>96</v>
      </c>
      <c r="D146" s="134" t="s">
        <v>182</v>
      </c>
      <c r="E146" s="131" t="s">
        <v>765</v>
      </c>
      <c r="G146" s="11"/>
    </row>
    <row r="147" spans="1:7" x14ac:dyDescent="0.25">
      <c r="A147" s="131" t="s">
        <v>766</v>
      </c>
      <c r="B147" s="102" t="s">
        <v>767</v>
      </c>
      <c r="C147" s="102" t="s">
        <v>96</v>
      </c>
      <c r="D147" s="134" t="s">
        <v>180</v>
      </c>
      <c r="E147" s="131" t="s">
        <v>768</v>
      </c>
      <c r="G147" s="11"/>
    </row>
    <row r="148" spans="1:7" x14ac:dyDescent="0.25">
      <c r="A148" s="131" t="s">
        <v>769</v>
      </c>
      <c r="B148" s="102" t="s">
        <v>95</v>
      </c>
      <c r="C148" s="102" t="s">
        <v>96</v>
      </c>
      <c r="D148" s="134" t="s">
        <v>184</v>
      </c>
      <c r="E148" s="131" t="s">
        <v>770</v>
      </c>
      <c r="G148" s="11"/>
    </row>
    <row r="149" spans="1:7" x14ac:dyDescent="0.25">
      <c r="A149" s="131" t="s">
        <v>771</v>
      </c>
      <c r="B149" s="102" t="s">
        <v>767</v>
      </c>
      <c r="C149" s="102" t="s">
        <v>96</v>
      </c>
      <c r="D149" s="134" t="s">
        <v>186</v>
      </c>
      <c r="E149" s="131" t="s">
        <v>772</v>
      </c>
      <c r="G149" s="11"/>
    </row>
    <row r="150" spans="1:7" x14ac:dyDescent="0.25">
      <c r="A150" s="131" t="s">
        <v>773</v>
      </c>
      <c r="B150" s="102" t="s">
        <v>188</v>
      </c>
      <c r="C150" s="102" t="s">
        <v>98</v>
      </c>
      <c r="D150" s="134" t="s">
        <v>191</v>
      </c>
      <c r="E150" s="131" t="s">
        <v>774</v>
      </c>
      <c r="G150" s="11"/>
    </row>
    <row r="151" spans="1:7" x14ac:dyDescent="0.25">
      <c r="A151" s="131" t="s">
        <v>775</v>
      </c>
      <c r="B151" s="102" t="s">
        <v>188</v>
      </c>
      <c r="C151" s="102" t="s">
        <v>98</v>
      </c>
      <c r="D151" s="134" t="s">
        <v>187</v>
      </c>
      <c r="E151" s="131" t="s">
        <v>776</v>
      </c>
      <c r="G151" s="11"/>
    </row>
    <row r="152" spans="1:7" x14ac:dyDescent="0.25">
      <c r="A152" s="131" t="s">
        <v>777</v>
      </c>
      <c r="B152" s="102" t="s">
        <v>190</v>
      </c>
      <c r="C152" s="102" t="s">
        <v>98</v>
      </c>
      <c r="D152" s="134" t="s">
        <v>189</v>
      </c>
      <c r="E152" s="131" t="s">
        <v>778</v>
      </c>
      <c r="G152" s="11"/>
    </row>
    <row r="153" spans="1:7" x14ac:dyDescent="0.25">
      <c r="A153" s="131" t="s">
        <v>1153</v>
      </c>
      <c r="B153" s="102" t="s">
        <v>188</v>
      </c>
      <c r="C153" s="102" t="s">
        <v>98</v>
      </c>
      <c r="D153" s="134" t="s">
        <v>192</v>
      </c>
      <c r="E153" s="131" t="s">
        <v>1154</v>
      </c>
      <c r="G153" s="11"/>
    </row>
    <row r="154" spans="1:7" x14ac:dyDescent="0.25">
      <c r="A154" s="131" t="s">
        <v>779</v>
      </c>
      <c r="B154" s="102" t="s">
        <v>206</v>
      </c>
      <c r="C154" s="102" t="s">
        <v>99</v>
      </c>
      <c r="D154" s="134" t="s">
        <v>205</v>
      </c>
      <c r="E154" s="131" t="s">
        <v>780</v>
      </c>
      <c r="G154" s="11"/>
    </row>
    <row r="155" spans="1:7" x14ac:dyDescent="0.25">
      <c r="A155" s="131" t="s">
        <v>781</v>
      </c>
      <c r="B155" s="102" t="s">
        <v>194</v>
      </c>
      <c r="C155" s="102" t="s">
        <v>99</v>
      </c>
      <c r="D155" s="134" t="s">
        <v>193</v>
      </c>
      <c r="E155" s="131" t="s">
        <v>782</v>
      </c>
      <c r="G155" s="11"/>
    </row>
    <row r="156" spans="1:7" x14ac:dyDescent="0.25">
      <c r="A156" s="131" t="s">
        <v>783</v>
      </c>
      <c r="B156" s="102" t="s">
        <v>99</v>
      </c>
      <c r="C156" s="102" t="s">
        <v>99</v>
      </c>
      <c r="D156" s="134" t="s">
        <v>200</v>
      </c>
      <c r="E156" s="131" t="s">
        <v>784</v>
      </c>
      <c r="G156" s="11"/>
    </row>
    <row r="157" spans="1:7" x14ac:dyDescent="0.25">
      <c r="A157" s="131" t="s">
        <v>785</v>
      </c>
      <c r="B157" s="102" t="s">
        <v>786</v>
      </c>
      <c r="C157" s="102" t="s">
        <v>99</v>
      </c>
      <c r="D157" s="134" t="s">
        <v>198</v>
      </c>
      <c r="E157" s="131" t="s">
        <v>787</v>
      </c>
      <c r="G157" s="11"/>
    </row>
    <row r="158" spans="1:7" x14ac:dyDescent="0.25">
      <c r="A158" s="131" t="s">
        <v>788</v>
      </c>
      <c r="B158" s="102" t="s">
        <v>210</v>
      </c>
      <c r="C158" s="102" t="s">
        <v>99</v>
      </c>
      <c r="D158" s="134" t="s">
        <v>209</v>
      </c>
      <c r="E158" s="131" t="s">
        <v>789</v>
      </c>
      <c r="G158" s="11"/>
    </row>
    <row r="159" spans="1:7" x14ac:dyDescent="0.25">
      <c r="A159" s="131" t="s">
        <v>790</v>
      </c>
      <c r="B159" s="102" t="s">
        <v>791</v>
      </c>
      <c r="C159" s="102" t="s">
        <v>99</v>
      </c>
      <c r="D159" s="134" t="s">
        <v>197</v>
      </c>
      <c r="E159" s="131" t="s">
        <v>792</v>
      </c>
      <c r="G159" s="11"/>
    </row>
    <row r="160" spans="1:7" x14ac:dyDescent="0.25">
      <c r="A160" s="131" t="s">
        <v>793</v>
      </c>
      <c r="B160" s="102" t="s">
        <v>202</v>
      </c>
      <c r="C160" s="102" t="s">
        <v>99</v>
      </c>
      <c r="D160" s="134" t="s">
        <v>201</v>
      </c>
      <c r="E160" s="131" t="s">
        <v>794</v>
      </c>
      <c r="G160" s="11"/>
    </row>
    <row r="161" spans="1:7" x14ac:dyDescent="0.25">
      <c r="A161" s="131" t="s">
        <v>795</v>
      </c>
      <c r="B161" s="102" t="s">
        <v>796</v>
      </c>
      <c r="C161" s="102" t="s">
        <v>99</v>
      </c>
      <c r="D161" s="134" t="s">
        <v>196</v>
      </c>
      <c r="E161" s="131" t="s">
        <v>797</v>
      </c>
      <c r="G161" s="11"/>
    </row>
    <row r="162" spans="1:7" x14ac:dyDescent="0.25">
      <c r="A162" s="131" t="s">
        <v>798</v>
      </c>
      <c r="B162" s="102" t="s">
        <v>799</v>
      </c>
      <c r="C162" s="102" t="s">
        <v>99</v>
      </c>
      <c r="D162" s="134" t="s">
        <v>195</v>
      </c>
      <c r="E162" s="131" t="s">
        <v>800</v>
      </c>
      <c r="G162" s="11"/>
    </row>
    <row r="163" spans="1:7" x14ac:dyDescent="0.25">
      <c r="A163" s="131" t="s">
        <v>801</v>
      </c>
      <c r="B163" s="102" t="s">
        <v>802</v>
      </c>
      <c r="C163" s="102" t="s">
        <v>99</v>
      </c>
      <c r="D163" s="134" t="s">
        <v>197</v>
      </c>
      <c r="E163" s="131" t="s">
        <v>803</v>
      </c>
      <c r="G163" s="11"/>
    </row>
    <row r="164" spans="1:7" x14ac:dyDescent="0.25">
      <c r="A164" s="131" t="s">
        <v>804</v>
      </c>
      <c r="B164" s="102" t="s">
        <v>99</v>
      </c>
      <c r="C164" s="102" t="s">
        <v>99</v>
      </c>
      <c r="D164" s="134" t="s">
        <v>199</v>
      </c>
      <c r="E164" s="131" t="s">
        <v>805</v>
      </c>
      <c r="G164" s="11"/>
    </row>
    <row r="165" spans="1:7" x14ac:dyDescent="0.25">
      <c r="A165" s="131" t="s">
        <v>806</v>
      </c>
      <c r="B165" s="102" t="s">
        <v>204</v>
      </c>
      <c r="C165" s="102" t="s">
        <v>99</v>
      </c>
      <c r="D165" s="134" t="s">
        <v>203</v>
      </c>
      <c r="E165" s="131" t="s">
        <v>807</v>
      </c>
      <c r="G165" s="11"/>
    </row>
    <row r="166" spans="1:7" x14ac:dyDescent="0.25">
      <c r="A166" s="131" t="s">
        <v>808</v>
      </c>
      <c r="B166" s="102" t="s">
        <v>208</v>
      </c>
      <c r="C166" s="102" t="s">
        <v>99</v>
      </c>
      <c r="D166" s="134" t="s">
        <v>207</v>
      </c>
      <c r="E166" s="131" t="s">
        <v>809</v>
      </c>
    </row>
    <row r="167" spans="1:7" x14ac:dyDescent="0.25">
      <c r="A167" s="131" t="s">
        <v>675</v>
      </c>
      <c r="B167" s="102" t="s">
        <v>217</v>
      </c>
      <c r="C167" s="102" t="s">
        <v>100</v>
      </c>
      <c r="D167" s="134" t="s">
        <v>216</v>
      </c>
      <c r="E167" s="131" t="s">
        <v>218</v>
      </c>
    </row>
    <row r="168" spans="1:7" x14ac:dyDescent="0.25">
      <c r="A168" s="131" t="s">
        <v>810</v>
      </c>
      <c r="B168" s="102" t="s">
        <v>215</v>
      </c>
      <c r="C168" s="102" t="s">
        <v>100</v>
      </c>
      <c r="D168" s="134" t="s">
        <v>214</v>
      </c>
      <c r="E168" s="131" t="s">
        <v>811</v>
      </c>
    </row>
    <row r="169" spans="1:7" x14ac:dyDescent="0.25">
      <c r="A169" s="131" t="s">
        <v>676</v>
      </c>
      <c r="B169" s="102" t="s">
        <v>812</v>
      </c>
      <c r="C169" s="102" t="s">
        <v>100</v>
      </c>
      <c r="D169" s="134" t="s">
        <v>211</v>
      </c>
      <c r="E169" s="131" t="s">
        <v>212</v>
      </c>
    </row>
    <row r="170" spans="1:7" x14ac:dyDescent="0.25">
      <c r="A170" s="131" t="s">
        <v>813</v>
      </c>
      <c r="B170" s="102" t="s">
        <v>100</v>
      </c>
      <c r="C170" s="102" t="s">
        <v>100</v>
      </c>
      <c r="D170" s="134" t="s">
        <v>213</v>
      </c>
      <c r="E170" s="131" t="s">
        <v>1155</v>
      </c>
    </row>
    <row r="171" spans="1:7" x14ac:dyDescent="0.25">
      <c r="A171" s="131" t="s">
        <v>677</v>
      </c>
      <c r="B171" s="102" t="s">
        <v>221</v>
      </c>
      <c r="C171" s="102" t="s">
        <v>100</v>
      </c>
      <c r="D171" s="134" t="s">
        <v>220</v>
      </c>
      <c r="E171" s="131" t="s">
        <v>222</v>
      </c>
    </row>
    <row r="172" spans="1:7" x14ac:dyDescent="0.25">
      <c r="A172" s="131" t="s">
        <v>678</v>
      </c>
      <c r="B172" s="102" t="s">
        <v>217</v>
      </c>
      <c r="C172" s="102" t="s">
        <v>100</v>
      </c>
      <c r="D172" s="134" t="s">
        <v>216</v>
      </c>
      <c r="E172" s="131" t="s">
        <v>219</v>
      </c>
    </row>
    <row r="173" spans="1:7" x14ac:dyDescent="0.25">
      <c r="A173" s="131" t="s">
        <v>1156</v>
      </c>
      <c r="B173" s="102" t="s">
        <v>101</v>
      </c>
      <c r="C173" s="102" t="s">
        <v>101</v>
      </c>
      <c r="D173" s="134" t="s">
        <v>232</v>
      </c>
      <c r="E173" s="131" t="s">
        <v>1157</v>
      </c>
    </row>
    <row r="174" spans="1:7" x14ac:dyDescent="0.25">
      <c r="A174" s="131" t="s">
        <v>814</v>
      </c>
      <c r="B174" s="133" t="s">
        <v>228</v>
      </c>
      <c r="C174" s="102" t="s">
        <v>101</v>
      </c>
      <c r="D174" s="134" t="s">
        <v>227</v>
      </c>
      <c r="E174" s="131" t="s">
        <v>815</v>
      </c>
    </row>
    <row r="175" spans="1:7" x14ac:dyDescent="0.25">
      <c r="A175" s="131" t="s">
        <v>1158</v>
      </c>
      <c r="B175" s="102" t="s">
        <v>226</v>
      </c>
      <c r="C175" s="102" t="s">
        <v>101</v>
      </c>
      <c r="D175" s="134" t="s">
        <v>225</v>
      </c>
      <c r="E175" s="131" t="s">
        <v>1159</v>
      </c>
    </row>
    <row r="176" spans="1:7" x14ac:dyDescent="0.25">
      <c r="A176" s="131" t="s">
        <v>816</v>
      </c>
      <c r="B176" s="102" t="s">
        <v>224</v>
      </c>
      <c r="C176" s="102" t="s">
        <v>101</v>
      </c>
      <c r="D176" s="134" t="s">
        <v>223</v>
      </c>
      <c r="E176" s="131" t="s">
        <v>1160</v>
      </c>
    </row>
    <row r="177" spans="1:5" x14ac:dyDescent="0.25">
      <c r="A177" s="131" t="s">
        <v>679</v>
      </c>
      <c r="B177" s="102" t="s">
        <v>230</v>
      </c>
      <c r="C177" s="102" t="s">
        <v>101</v>
      </c>
      <c r="D177" s="134" t="s">
        <v>229</v>
      </c>
      <c r="E177" s="131" t="s">
        <v>231</v>
      </c>
    </row>
    <row r="178" spans="1:5" x14ac:dyDescent="0.25">
      <c r="A178" s="131" t="s">
        <v>817</v>
      </c>
      <c r="B178" s="102" t="s">
        <v>236</v>
      </c>
      <c r="C178" s="102" t="s">
        <v>102</v>
      </c>
      <c r="D178" s="134" t="s">
        <v>235</v>
      </c>
      <c r="E178" s="131" t="s">
        <v>818</v>
      </c>
    </row>
    <row r="179" spans="1:5" x14ac:dyDescent="0.25">
      <c r="A179" s="131" t="s">
        <v>819</v>
      </c>
      <c r="B179" s="102" t="s">
        <v>102</v>
      </c>
      <c r="C179" s="102" t="s">
        <v>102</v>
      </c>
      <c r="D179" s="134" t="s">
        <v>234</v>
      </c>
      <c r="E179" s="131" t="s">
        <v>820</v>
      </c>
    </row>
    <row r="180" spans="1:5" x14ac:dyDescent="0.25">
      <c r="A180" s="131" t="s">
        <v>821</v>
      </c>
      <c r="B180" s="102" t="s">
        <v>102</v>
      </c>
      <c r="C180" s="102" t="s">
        <v>102</v>
      </c>
      <c r="D180" s="134" t="s">
        <v>234</v>
      </c>
      <c r="E180" s="131" t="s">
        <v>822</v>
      </c>
    </row>
    <row r="181" spans="1:5" x14ac:dyDescent="0.25">
      <c r="A181" s="131" t="s">
        <v>823</v>
      </c>
      <c r="B181" s="102" t="s">
        <v>102</v>
      </c>
      <c r="C181" s="102" t="s">
        <v>102</v>
      </c>
      <c r="D181" s="134" t="s">
        <v>233</v>
      </c>
      <c r="E181" s="131" t="s">
        <v>824</v>
      </c>
    </row>
    <row r="182" spans="1:5" x14ac:dyDescent="0.25">
      <c r="A182" s="131" t="s">
        <v>825</v>
      </c>
      <c r="B182" s="102" t="s">
        <v>242</v>
      </c>
      <c r="C182" s="102" t="s">
        <v>111</v>
      </c>
      <c r="D182" s="134" t="s">
        <v>241</v>
      </c>
      <c r="E182" s="131" t="s">
        <v>826</v>
      </c>
    </row>
    <row r="183" spans="1:5" x14ac:dyDescent="0.25">
      <c r="A183" s="131" t="s">
        <v>827</v>
      </c>
      <c r="B183" s="102" t="s">
        <v>238</v>
      </c>
      <c r="C183" s="102" t="s">
        <v>111</v>
      </c>
      <c r="D183" s="134" t="s">
        <v>237</v>
      </c>
      <c r="E183" s="131" t="s">
        <v>828</v>
      </c>
    </row>
    <row r="184" spans="1:5" x14ac:dyDescent="0.25">
      <c r="A184" s="131" t="s">
        <v>829</v>
      </c>
      <c r="B184" s="102" t="s">
        <v>110</v>
      </c>
      <c r="C184" s="102" t="s">
        <v>111</v>
      </c>
      <c r="D184" s="134" t="s">
        <v>243</v>
      </c>
      <c r="E184" s="131" t="s">
        <v>830</v>
      </c>
    </row>
    <row r="185" spans="1:5" x14ac:dyDescent="0.25">
      <c r="A185" s="131" t="s">
        <v>831</v>
      </c>
      <c r="B185" s="102" t="s">
        <v>247</v>
      </c>
      <c r="C185" s="102" t="s">
        <v>111</v>
      </c>
      <c r="D185" s="134" t="s">
        <v>246</v>
      </c>
      <c r="E185" s="131" t="s">
        <v>832</v>
      </c>
    </row>
    <row r="186" spans="1:5" x14ac:dyDescent="0.25">
      <c r="A186" s="131" t="s">
        <v>680</v>
      </c>
      <c r="B186" s="102" t="s">
        <v>239</v>
      </c>
      <c r="C186" s="102" t="s">
        <v>111</v>
      </c>
      <c r="D186" s="134">
        <v>55650</v>
      </c>
      <c r="E186" s="131" t="s">
        <v>240</v>
      </c>
    </row>
    <row r="187" spans="1:5" x14ac:dyDescent="0.25">
      <c r="A187" s="131" t="s">
        <v>833</v>
      </c>
      <c r="B187" s="102" t="s">
        <v>245</v>
      </c>
      <c r="C187" s="102" t="s">
        <v>111</v>
      </c>
      <c r="D187" s="134" t="s">
        <v>244</v>
      </c>
      <c r="E187" s="131" t="s">
        <v>834</v>
      </c>
    </row>
    <row r="188" spans="1:5" x14ac:dyDescent="0.25">
      <c r="A188" s="131" t="s">
        <v>1161</v>
      </c>
      <c r="B188" s="102" t="s">
        <v>113</v>
      </c>
      <c r="C188" s="102" t="s">
        <v>103</v>
      </c>
      <c r="D188" s="134" t="s">
        <v>253</v>
      </c>
      <c r="E188" s="131" t="s">
        <v>1162</v>
      </c>
    </row>
    <row r="189" spans="1:5" x14ac:dyDescent="0.25">
      <c r="A189" s="131" t="s">
        <v>681</v>
      </c>
      <c r="B189" s="102" t="s">
        <v>249</v>
      </c>
      <c r="C189" s="102" t="s">
        <v>103</v>
      </c>
      <c r="D189" s="134" t="s">
        <v>248</v>
      </c>
      <c r="E189" s="131" t="s">
        <v>250</v>
      </c>
    </row>
    <row r="190" spans="1:5" x14ac:dyDescent="0.25">
      <c r="A190" s="131" t="s">
        <v>682</v>
      </c>
      <c r="B190" s="102" t="s">
        <v>257</v>
      </c>
      <c r="C190" s="102" t="s">
        <v>103</v>
      </c>
      <c r="D190" s="134" t="s">
        <v>254</v>
      </c>
      <c r="E190" s="131" t="s">
        <v>258</v>
      </c>
    </row>
    <row r="191" spans="1:5" x14ac:dyDescent="0.25">
      <c r="A191" s="131" t="s">
        <v>835</v>
      </c>
      <c r="B191" s="102" t="s">
        <v>260</v>
      </c>
      <c r="C191" s="102" t="s">
        <v>103</v>
      </c>
      <c r="D191" s="134" t="s">
        <v>259</v>
      </c>
      <c r="E191" s="131" t="s">
        <v>836</v>
      </c>
    </row>
    <row r="192" spans="1:5" x14ac:dyDescent="0.25">
      <c r="A192" s="131" t="s">
        <v>1163</v>
      </c>
      <c r="B192" s="102" t="s">
        <v>113</v>
      </c>
      <c r="C192" s="102" t="s">
        <v>103</v>
      </c>
      <c r="D192" s="134" t="s">
        <v>261</v>
      </c>
      <c r="E192" s="131" t="s">
        <v>837</v>
      </c>
    </row>
    <row r="193" spans="1:5" x14ac:dyDescent="0.25">
      <c r="A193" s="131" t="s">
        <v>838</v>
      </c>
      <c r="B193" s="102" t="s">
        <v>252</v>
      </c>
      <c r="C193" s="102" t="s">
        <v>103</v>
      </c>
      <c r="D193" s="134" t="s">
        <v>251</v>
      </c>
      <c r="E193" s="131" t="s">
        <v>839</v>
      </c>
    </row>
    <row r="194" spans="1:5" x14ac:dyDescent="0.25">
      <c r="A194" s="131" t="s">
        <v>1164</v>
      </c>
      <c r="B194" s="102" t="s">
        <v>665</v>
      </c>
      <c r="C194" s="102" t="s">
        <v>103</v>
      </c>
      <c r="D194" s="134" t="s">
        <v>254</v>
      </c>
      <c r="E194" s="131" t="s">
        <v>1165</v>
      </c>
    </row>
    <row r="195" spans="1:5" x14ac:dyDescent="0.25">
      <c r="A195" s="131" t="s">
        <v>683</v>
      </c>
      <c r="B195" s="102" t="s">
        <v>103</v>
      </c>
      <c r="C195" s="102" t="s">
        <v>103</v>
      </c>
      <c r="D195" s="134" t="s">
        <v>255</v>
      </c>
      <c r="E195" s="131" t="s">
        <v>256</v>
      </c>
    </row>
    <row r="196" spans="1:5" x14ac:dyDescent="0.25">
      <c r="A196" s="131" t="s">
        <v>840</v>
      </c>
      <c r="B196" s="102" t="s">
        <v>114</v>
      </c>
      <c r="C196" s="102" t="s">
        <v>104</v>
      </c>
      <c r="D196" s="134" t="s">
        <v>262</v>
      </c>
      <c r="E196" s="131" t="s">
        <v>841</v>
      </c>
    </row>
    <row r="197" spans="1:5" x14ac:dyDescent="0.25">
      <c r="A197" s="131" t="s">
        <v>684</v>
      </c>
      <c r="B197" s="102" t="s">
        <v>264</v>
      </c>
      <c r="C197" s="102" t="s">
        <v>104</v>
      </c>
      <c r="D197" s="134" t="s">
        <v>263</v>
      </c>
      <c r="E197" s="131" t="s">
        <v>265</v>
      </c>
    </row>
    <row r="198" spans="1:5" x14ac:dyDescent="0.25">
      <c r="A198" s="131" t="s">
        <v>685</v>
      </c>
      <c r="B198" s="102" t="s">
        <v>267</v>
      </c>
      <c r="C198" s="102" t="s">
        <v>104</v>
      </c>
      <c r="D198" s="134" t="s">
        <v>266</v>
      </c>
      <c r="E198" s="131" t="s">
        <v>268</v>
      </c>
    </row>
    <row r="199" spans="1:5" x14ac:dyDescent="0.25">
      <c r="A199" s="131" t="s">
        <v>686</v>
      </c>
      <c r="B199" s="102" t="s">
        <v>114</v>
      </c>
      <c r="C199" s="102" t="s">
        <v>104</v>
      </c>
      <c r="D199" s="134" t="s">
        <v>281</v>
      </c>
      <c r="E199" s="131" t="s">
        <v>282</v>
      </c>
    </row>
    <row r="200" spans="1:5" x14ac:dyDescent="0.25">
      <c r="A200" s="131" t="s">
        <v>687</v>
      </c>
      <c r="B200" s="102" t="s">
        <v>284</v>
      </c>
      <c r="C200" s="102" t="s">
        <v>104</v>
      </c>
      <c r="D200" s="134" t="s">
        <v>283</v>
      </c>
      <c r="E200" s="131" t="s">
        <v>285</v>
      </c>
    </row>
    <row r="201" spans="1:5" x14ac:dyDescent="0.25">
      <c r="A201" s="131" t="s">
        <v>688</v>
      </c>
      <c r="B201" s="102" t="s">
        <v>114</v>
      </c>
      <c r="C201" s="102" t="s">
        <v>104</v>
      </c>
      <c r="D201" s="134" t="s">
        <v>279</v>
      </c>
      <c r="E201" s="131" t="s">
        <v>280</v>
      </c>
    </row>
    <row r="202" spans="1:5" x14ac:dyDescent="0.25">
      <c r="A202" s="131" t="s">
        <v>689</v>
      </c>
      <c r="B202" s="102" t="s">
        <v>275</v>
      </c>
      <c r="C202" s="102" t="s">
        <v>104</v>
      </c>
      <c r="D202" s="134" t="s">
        <v>274</v>
      </c>
      <c r="E202" s="131" t="s">
        <v>276</v>
      </c>
    </row>
    <row r="203" spans="1:5" x14ac:dyDescent="0.25">
      <c r="A203" s="131" t="s">
        <v>842</v>
      </c>
      <c r="B203" s="102" t="s">
        <v>278</v>
      </c>
      <c r="C203" s="102" t="s">
        <v>104</v>
      </c>
      <c r="D203" s="134" t="s">
        <v>277</v>
      </c>
      <c r="E203" s="131" t="s">
        <v>843</v>
      </c>
    </row>
    <row r="204" spans="1:5" x14ac:dyDescent="0.25">
      <c r="A204" s="131" t="s">
        <v>690</v>
      </c>
      <c r="B204" s="102" t="s">
        <v>264</v>
      </c>
      <c r="C204" s="102" t="s">
        <v>104</v>
      </c>
      <c r="D204" s="134" t="s">
        <v>272</v>
      </c>
      <c r="E204" s="131" t="s">
        <v>273</v>
      </c>
    </row>
    <row r="205" spans="1:5" x14ac:dyDescent="0.25">
      <c r="A205" s="131" t="s">
        <v>691</v>
      </c>
      <c r="B205" s="102" t="s">
        <v>270</v>
      </c>
      <c r="C205" s="102" t="s">
        <v>104</v>
      </c>
      <c r="D205" s="134" t="s">
        <v>269</v>
      </c>
      <c r="E205" s="131" t="s">
        <v>271</v>
      </c>
    </row>
    <row r="206" spans="1:5" x14ac:dyDescent="0.25">
      <c r="A206" s="131" t="s">
        <v>844</v>
      </c>
      <c r="B206" s="102" t="s">
        <v>300</v>
      </c>
      <c r="C206" s="102" t="s">
        <v>105</v>
      </c>
      <c r="D206" s="134" t="s">
        <v>299</v>
      </c>
      <c r="E206" s="131" t="s">
        <v>845</v>
      </c>
    </row>
    <row r="207" spans="1:5" x14ac:dyDescent="0.25">
      <c r="A207" s="131" t="s">
        <v>846</v>
      </c>
      <c r="B207" s="102" t="s">
        <v>161</v>
      </c>
      <c r="C207" s="102" t="s">
        <v>105</v>
      </c>
      <c r="D207" s="134" t="s">
        <v>296</v>
      </c>
      <c r="E207" s="131" t="s">
        <v>847</v>
      </c>
    </row>
    <row r="208" spans="1:5" x14ac:dyDescent="0.25">
      <c r="A208" s="131" t="s">
        <v>848</v>
      </c>
      <c r="B208" s="102" t="s">
        <v>161</v>
      </c>
      <c r="C208" s="102" t="s">
        <v>105</v>
      </c>
      <c r="D208" s="134" t="s">
        <v>297</v>
      </c>
      <c r="E208" s="131" t="s">
        <v>849</v>
      </c>
    </row>
    <row r="209" spans="1:5" x14ac:dyDescent="0.25">
      <c r="A209" s="131" t="s">
        <v>850</v>
      </c>
      <c r="B209" s="102" t="s">
        <v>289</v>
      </c>
      <c r="C209" s="102" t="s">
        <v>105</v>
      </c>
      <c r="D209" s="134" t="s">
        <v>288</v>
      </c>
      <c r="E209" s="131" t="s">
        <v>851</v>
      </c>
    </row>
    <row r="210" spans="1:5" x14ac:dyDescent="0.25">
      <c r="A210" s="131" t="s">
        <v>852</v>
      </c>
      <c r="B210" s="102" t="s">
        <v>287</v>
      </c>
      <c r="C210" s="102" t="s">
        <v>105</v>
      </c>
      <c r="D210" s="134" t="s">
        <v>286</v>
      </c>
      <c r="E210" s="131" t="s">
        <v>853</v>
      </c>
    </row>
    <row r="211" spans="1:5" x14ac:dyDescent="0.25">
      <c r="A211" s="131" t="s">
        <v>854</v>
      </c>
      <c r="B211" s="102" t="s">
        <v>291</v>
      </c>
      <c r="C211" s="102" t="s">
        <v>105</v>
      </c>
      <c r="D211" s="134" t="s">
        <v>290</v>
      </c>
      <c r="E211" s="131" t="s">
        <v>855</v>
      </c>
    </row>
    <row r="212" spans="1:5" x14ac:dyDescent="0.25">
      <c r="A212" s="131" t="s">
        <v>856</v>
      </c>
      <c r="B212" s="102" t="s">
        <v>295</v>
      </c>
      <c r="C212" s="102" t="s">
        <v>105</v>
      </c>
      <c r="D212" s="134" t="s">
        <v>294</v>
      </c>
      <c r="E212" s="131" t="s">
        <v>857</v>
      </c>
    </row>
    <row r="213" spans="1:5" x14ac:dyDescent="0.25">
      <c r="A213" s="131" t="s">
        <v>858</v>
      </c>
      <c r="B213" s="102" t="s">
        <v>295</v>
      </c>
      <c r="C213" s="102" t="s">
        <v>105</v>
      </c>
      <c r="D213" s="134" t="s">
        <v>294</v>
      </c>
      <c r="E213" s="131" t="s">
        <v>859</v>
      </c>
    </row>
    <row r="214" spans="1:5" x14ac:dyDescent="0.25">
      <c r="A214" s="131" t="s">
        <v>860</v>
      </c>
      <c r="B214" s="102" t="s">
        <v>293</v>
      </c>
      <c r="C214" s="102" t="s">
        <v>105</v>
      </c>
      <c r="D214" s="134" t="s">
        <v>292</v>
      </c>
      <c r="E214" s="131" t="s">
        <v>861</v>
      </c>
    </row>
    <row r="215" spans="1:5" x14ac:dyDescent="0.25">
      <c r="A215" s="131" t="s">
        <v>862</v>
      </c>
      <c r="B215" s="102" t="s">
        <v>161</v>
      </c>
      <c r="C215" s="102" t="s">
        <v>105</v>
      </c>
      <c r="D215" s="134" t="s">
        <v>298</v>
      </c>
      <c r="E215" s="131" t="s">
        <v>863</v>
      </c>
    </row>
    <row r="216" spans="1:5" x14ac:dyDescent="0.25">
      <c r="A216" s="131" t="s">
        <v>864</v>
      </c>
      <c r="B216" s="102" t="s">
        <v>115</v>
      </c>
      <c r="C216" s="102" t="s">
        <v>106</v>
      </c>
      <c r="D216" s="134" t="s">
        <v>312</v>
      </c>
      <c r="E216" s="131" t="s">
        <v>865</v>
      </c>
    </row>
    <row r="217" spans="1:5" x14ac:dyDescent="0.25">
      <c r="A217" s="131" t="s">
        <v>866</v>
      </c>
      <c r="B217" s="102" t="s">
        <v>115</v>
      </c>
      <c r="C217" s="102" t="s">
        <v>106</v>
      </c>
      <c r="D217" s="134" t="s">
        <v>311</v>
      </c>
      <c r="E217" s="131" t="s">
        <v>867</v>
      </c>
    </row>
    <row r="218" spans="1:5" x14ac:dyDescent="0.25">
      <c r="A218" s="131" t="s">
        <v>868</v>
      </c>
      <c r="B218" s="102" t="s">
        <v>869</v>
      </c>
      <c r="C218" s="102" t="s">
        <v>106</v>
      </c>
      <c r="D218" s="134" t="s">
        <v>303</v>
      </c>
      <c r="E218" s="131" t="s">
        <v>870</v>
      </c>
    </row>
    <row r="219" spans="1:5" x14ac:dyDescent="0.25">
      <c r="A219" s="131" t="s">
        <v>871</v>
      </c>
      <c r="B219" s="102" t="s">
        <v>666</v>
      </c>
      <c r="C219" s="102" t="s">
        <v>106</v>
      </c>
      <c r="D219" s="134" t="s">
        <v>308</v>
      </c>
      <c r="E219" s="131" t="s">
        <v>872</v>
      </c>
    </row>
    <row r="220" spans="1:5" x14ac:dyDescent="0.25">
      <c r="A220" s="131" t="s">
        <v>873</v>
      </c>
      <c r="B220" s="102" t="s">
        <v>115</v>
      </c>
      <c r="C220" s="102" t="s">
        <v>106</v>
      </c>
      <c r="D220" s="134" t="s">
        <v>306</v>
      </c>
      <c r="E220" s="131" t="s">
        <v>874</v>
      </c>
    </row>
    <row r="221" spans="1:5" x14ac:dyDescent="0.25">
      <c r="A221" s="131" t="s">
        <v>875</v>
      </c>
      <c r="B221" s="102" t="s">
        <v>302</v>
      </c>
      <c r="C221" s="102" t="s">
        <v>106</v>
      </c>
      <c r="D221" s="134" t="s">
        <v>301</v>
      </c>
      <c r="E221" s="131" t="s">
        <v>876</v>
      </c>
    </row>
    <row r="222" spans="1:5" x14ac:dyDescent="0.25">
      <c r="A222" s="131" t="s">
        <v>877</v>
      </c>
      <c r="B222" s="102" t="s">
        <v>667</v>
      </c>
      <c r="C222" s="102" t="s">
        <v>106</v>
      </c>
      <c r="D222" s="134" t="s">
        <v>307</v>
      </c>
      <c r="E222" s="131" t="s">
        <v>878</v>
      </c>
    </row>
    <row r="223" spans="1:5" x14ac:dyDescent="0.25">
      <c r="A223" s="131" t="s">
        <v>879</v>
      </c>
      <c r="B223" s="102" t="s">
        <v>305</v>
      </c>
      <c r="C223" s="102" t="s">
        <v>106</v>
      </c>
      <c r="D223" s="134" t="s">
        <v>304</v>
      </c>
      <c r="E223" s="131" t="s">
        <v>880</v>
      </c>
    </row>
    <row r="224" spans="1:5" x14ac:dyDescent="0.25">
      <c r="A224" s="131" t="s">
        <v>881</v>
      </c>
      <c r="B224" s="102" t="s">
        <v>317</v>
      </c>
      <c r="C224" s="102" t="s">
        <v>106</v>
      </c>
      <c r="D224" s="134" t="s">
        <v>316</v>
      </c>
      <c r="E224" s="131" t="s">
        <v>882</v>
      </c>
    </row>
    <row r="225" spans="1:5" x14ac:dyDescent="0.25">
      <c r="A225" s="131" t="s">
        <v>692</v>
      </c>
      <c r="B225" s="102" t="s">
        <v>668</v>
      </c>
      <c r="C225" s="102" t="s">
        <v>106</v>
      </c>
      <c r="D225" s="134" t="s">
        <v>309</v>
      </c>
      <c r="E225" s="131" t="s">
        <v>310</v>
      </c>
    </row>
    <row r="226" spans="1:5" x14ac:dyDescent="0.25">
      <c r="A226" s="131" t="s">
        <v>1166</v>
      </c>
      <c r="B226" s="102" t="s">
        <v>317</v>
      </c>
      <c r="C226" s="102" t="s">
        <v>106</v>
      </c>
      <c r="D226" s="134" t="s">
        <v>316</v>
      </c>
      <c r="E226" s="131" t="s">
        <v>1167</v>
      </c>
    </row>
    <row r="227" spans="1:5" x14ac:dyDescent="0.25">
      <c r="A227" s="131" t="s">
        <v>883</v>
      </c>
      <c r="B227" s="102" t="s">
        <v>315</v>
      </c>
      <c r="C227" s="102" t="s">
        <v>106</v>
      </c>
      <c r="D227" s="134" t="s">
        <v>314</v>
      </c>
      <c r="E227" s="131" t="s">
        <v>884</v>
      </c>
    </row>
    <row r="228" spans="1:5" x14ac:dyDescent="0.25">
      <c r="A228" s="131" t="s">
        <v>693</v>
      </c>
      <c r="B228" s="102" t="s">
        <v>115</v>
      </c>
      <c r="C228" s="102" t="s">
        <v>106</v>
      </c>
      <c r="D228" s="134" t="s">
        <v>254</v>
      </c>
      <c r="E228" s="131" t="s">
        <v>313</v>
      </c>
    </row>
    <row r="229" spans="1:5" x14ac:dyDescent="0.25">
      <c r="A229" s="131" t="s">
        <v>885</v>
      </c>
      <c r="B229" s="102" t="s">
        <v>116</v>
      </c>
      <c r="C229" s="102" t="s">
        <v>107</v>
      </c>
      <c r="D229" s="134" t="s">
        <v>318</v>
      </c>
      <c r="E229" s="131" t="s">
        <v>886</v>
      </c>
    </row>
    <row r="230" spans="1:5" x14ac:dyDescent="0.25">
      <c r="A230" s="131" t="s">
        <v>887</v>
      </c>
      <c r="B230" s="102" t="s">
        <v>322</v>
      </c>
      <c r="C230" s="102" t="s">
        <v>107</v>
      </c>
      <c r="D230" s="134" t="s">
        <v>321</v>
      </c>
      <c r="E230" s="131" t="s">
        <v>888</v>
      </c>
    </row>
    <row r="231" spans="1:5" x14ac:dyDescent="0.25">
      <c r="A231" s="131" t="s">
        <v>889</v>
      </c>
      <c r="B231" s="102" t="s">
        <v>116</v>
      </c>
      <c r="C231" s="102" t="s">
        <v>107</v>
      </c>
      <c r="D231" s="134" t="s">
        <v>319</v>
      </c>
      <c r="E231" s="131" t="s">
        <v>890</v>
      </c>
    </row>
    <row r="232" spans="1:5" x14ac:dyDescent="0.25">
      <c r="A232" s="131" t="s">
        <v>891</v>
      </c>
      <c r="B232" s="102" t="s">
        <v>116</v>
      </c>
      <c r="C232" s="102" t="s">
        <v>107</v>
      </c>
      <c r="D232" s="134" t="s">
        <v>320</v>
      </c>
      <c r="E232" s="131" t="s">
        <v>892</v>
      </c>
    </row>
    <row r="233" spans="1:5" x14ac:dyDescent="0.25">
      <c r="A233" s="131" t="s">
        <v>893</v>
      </c>
      <c r="B233" s="102" t="s">
        <v>330</v>
      </c>
      <c r="C233" s="102" t="s">
        <v>108</v>
      </c>
      <c r="D233" s="134" t="s">
        <v>329</v>
      </c>
      <c r="E233" s="131" t="s">
        <v>894</v>
      </c>
    </row>
    <row r="234" spans="1:5" x14ac:dyDescent="0.25">
      <c r="A234" s="131" t="s">
        <v>694</v>
      </c>
      <c r="B234" s="102" t="s">
        <v>108</v>
      </c>
      <c r="C234" s="102" t="s">
        <v>108</v>
      </c>
      <c r="D234" s="134" t="s">
        <v>323</v>
      </c>
      <c r="E234" s="131" t="s">
        <v>324</v>
      </c>
    </row>
    <row r="235" spans="1:5" x14ac:dyDescent="0.25">
      <c r="A235" s="131" t="s">
        <v>695</v>
      </c>
      <c r="B235" s="102" t="s">
        <v>327</v>
      </c>
      <c r="C235" s="102" t="s">
        <v>108</v>
      </c>
      <c r="D235" s="134" t="s">
        <v>326</v>
      </c>
      <c r="E235" s="131" t="s">
        <v>328</v>
      </c>
    </row>
    <row r="236" spans="1:5" x14ac:dyDescent="0.25">
      <c r="A236" s="131" t="s">
        <v>895</v>
      </c>
      <c r="B236" s="102" t="s">
        <v>108</v>
      </c>
      <c r="C236" s="102" t="s">
        <v>108</v>
      </c>
      <c r="D236" s="134" t="s">
        <v>325</v>
      </c>
      <c r="E236" s="131" t="s">
        <v>896</v>
      </c>
    </row>
    <row r="237" spans="1:5" x14ac:dyDescent="0.25">
      <c r="A237" s="131" t="s">
        <v>897</v>
      </c>
      <c r="B237" s="102" t="s">
        <v>109</v>
      </c>
      <c r="C237" s="102" t="s">
        <v>109</v>
      </c>
      <c r="D237" s="134">
        <v>76187</v>
      </c>
      <c r="E237" s="131" t="s">
        <v>898</v>
      </c>
    </row>
    <row r="238" spans="1:5" x14ac:dyDescent="0.25">
      <c r="A238" s="131" t="s">
        <v>899</v>
      </c>
      <c r="B238" s="102" t="s">
        <v>332</v>
      </c>
      <c r="C238" s="102" t="s">
        <v>109</v>
      </c>
      <c r="D238" s="134" t="s">
        <v>331</v>
      </c>
      <c r="E238" s="131" t="s">
        <v>900</v>
      </c>
    </row>
    <row r="239" spans="1:5" x14ac:dyDescent="0.25">
      <c r="A239" s="131" t="s">
        <v>901</v>
      </c>
      <c r="B239" s="102" t="s">
        <v>335</v>
      </c>
      <c r="C239" s="102" t="s">
        <v>109</v>
      </c>
      <c r="D239" s="134" t="s">
        <v>334</v>
      </c>
      <c r="E239" s="131" t="s">
        <v>902</v>
      </c>
    </row>
    <row r="240" spans="1:5" x14ac:dyDescent="0.25">
      <c r="A240" s="131" t="s">
        <v>897</v>
      </c>
      <c r="B240" s="102" t="s">
        <v>109</v>
      </c>
      <c r="C240" s="102" t="s">
        <v>109</v>
      </c>
      <c r="D240" s="134" t="s">
        <v>333</v>
      </c>
      <c r="E240" s="131" t="s">
        <v>898</v>
      </c>
    </row>
    <row r="241" spans="1:5" x14ac:dyDescent="0.25">
      <c r="A241" s="131" t="s">
        <v>903</v>
      </c>
      <c r="B241" s="133" t="s">
        <v>1168</v>
      </c>
      <c r="C241" s="102" t="s">
        <v>112</v>
      </c>
      <c r="D241" s="134" t="s">
        <v>342</v>
      </c>
      <c r="E241" s="131" t="s">
        <v>904</v>
      </c>
    </row>
    <row r="242" spans="1:5" x14ac:dyDescent="0.25">
      <c r="A242" s="131" t="s">
        <v>905</v>
      </c>
      <c r="B242" s="102" t="s">
        <v>118</v>
      </c>
      <c r="C242" s="102" t="s">
        <v>112</v>
      </c>
      <c r="D242" s="134" t="s">
        <v>341</v>
      </c>
      <c r="E242" s="131" t="s">
        <v>906</v>
      </c>
    </row>
    <row r="243" spans="1:5" x14ac:dyDescent="0.25">
      <c r="A243" s="131" t="s">
        <v>907</v>
      </c>
      <c r="B243" s="102" t="s">
        <v>337</v>
      </c>
      <c r="C243" s="102" t="s">
        <v>112</v>
      </c>
      <c r="D243" s="134" t="s">
        <v>339</v>
      </c>
      <c r="E243" s="131" t="s">
        <v>908</v>
      </c>
    </row>
    <row r="244" spans="1:5" x14ac:dyDescent="0.25">
      <c r="A244" s="131" t="s">
        <v>1169</v>
      </c>
      <c r="B244" s="102" t="s">
        <v>118</v>
      </c>
      <c r="C244" s="102" t="s">
        <v>112</v>
      </c>
      <c r="D244" s="134" t="s">
        <v>340</v>
      </c>
      <c r="E244" s="131" t="s">
        <v>1170</v>
      </c>
    </row>
    <row r="245" spans="1:5" x14ac:dyDescent="0.25">
      <c r="A245" s="131" t="s">
        <v>696</v>
      </c>
      <c r="B245" s="102" t="s">
        <v>337</v>
      </c>
      <c r="C245" s="102" t="s">
        <v>112</v>
      </c>
      <c r="D245" s="134" t="s">
        <v>336</v>
      </c>
      <c r="E245" s="131" t="s">
        <v>338</v>
      </c>
    </row>
    <row r="246" spans="1:5" x14ac:dyDescent="0.25">
      <c r="A246" s="131" t="s">
        <v>697</v>
      </c>
      <c r="B246" s="102" t="s">
        <v>348</v>
      </c>
      <c r="C246" s="102" t="s">
        <v>117</v>
      </c>
      <c r="D246" s="134" t="s">
        <v>347</v>
      </c>
      <c r="E246" s="131" t="s">
        <v>349</v>
      </c>
    </row>
    <row r="247" spans="1:5" x14ac:dyDescent="0.25">
      <c r="A247" s="131" t="s">
        <v>698</v>
      </c>
      <c r="B247" s="102" t="s">
        <v>117</v>
      </c>
      <c r="C247" s="102" t="s">
        <v>117</v>
      </c>
      <c r="D247" s="134" t="s">
        <v>352</v>
      </c>
      <c r="E247" s="131" t="s">
        <v>353</v>
      </c>
    </row>
    <row r="248" spans="1:5" x14ac:dyDescent="0.25">
      <c r="A248" s="131" t="s">
        <v>699</v>
      </c>
      <c r="B248" s="102" t="s">
        <v>117</v>
      </c>
      <c r="C248" s="102" t="s">
        <v>117</v>
      </c>
      <c r="D248" s="134" t="s">
        <v>354</v>
      </c>
      <c r="E248" s="131" t="s">
        <v>355</v>
      </c>
    </row>
    <row r="249" spans="1:5" x14ac:dyDescent="0.25">
      <c r="A249" s="131" t="s">
        <v>909</v>
      </c>
      <c r="B249" s="102" t="s">
        <v>910</v>
      </c>
      <c r="C249" s="102" t="s">
        <v>117</v>
      </c>
      <c r="D249" s="134" t="s">
        <v>343</v>
      </c>
      <c r="E249" s="131" t="s">
        <v>911</v>
      </c>
    </row>
    <row r="250" spans="1:5" x14ac:dyDescent="0.25">
      <c r="A250" s="131" t="s">
        <v>912</v>
      </c>
      <c r="B250" s="102" t="s">
        <v>346</v>
      </c>
      <c r="C250" s="102" t="s">
        <v>117</v>
      </c>
      <c r="D250" s="134" t="s">
        <v>345</v>
      </c>
      <c r="E250" s="131" t="s">
        <v>913</v>
      </c>
    </row>
    <row r="251" spans="1:5" x14ac:dyDescent="0.25">
      <c r="A251" s="131" t="s">
        <v>700</v>
      </c>
      <c r="B251" s="102" t="s">
        <v>117</v>
      </c>
      <c r="C251" s="102" t="s">
        <v>117</v>
      </c>
      <c r="D251" s="134" t="s">
        <v>356</v>
      </c>
      <c r="E251" s="131" t="s">
        <v>357</v>
      </c>
    </row>
    <row r="252" spans="1:5" x14ac:dyDescent="0.25">
      <c r="A252" s="131" t="s">
        <v>914</v>
      </c>
      <c r="B252" s="102" t="s">
        <v>915</v>
      </c>
      <c r="C252" s="102" t="s">
        <v>117</v>
      </c>
      <c r="D252" s="134" t="s">
        <v>344</v>
      </c>
      <c r="E252" s="131" t="s">
        <v>916</v>
      </c>
    </row>
    <row r="253" spans="1:5" x14ac:dyDescent="0.25">
      <c r="A253" s="131" t="s">
        <v>1171</v>
      </c>
      <c r="B253" s="102" t="s">
        <v>351</v>
      </c>
      <c r="C253" s="102" t="s">
        <v>117</v>
      </c>
      <c r="D253" s="134" t="s">
        <v>350</v>
      </c>
      <c r="E253" s="131" t="s">
        <v>1172</v>
      </c>
    </row>
    <row r="254" spans="1:5" x14ac:dyDescent="0.25">
      <c r="A254" s="131" t="s">
        <v>917</v>
      </c>
      <c r="B254" s="102" t="s">
        <v>119</v>
      </c>
      <c r="C254" s="102" t="s">
        <v>119</v>
      </c>
      <c r="D254" s="134">
        <v>90040</v>
      </c>
      <c r="E254" s="131" t="s">
        <v>918</v>
      </c>
    </row>
    <row r="255" spans="1:5" x14ac:dyDescent="0.25">
      <c r="A255" s="131" t="s">
        <v>1173</v>
      </c>
      <c r="B255" s="102" t="s">
        <v>119</v>
      </c>
      <c r="C255" s="102" t="s">
        <v>119</v>
      </c>
      <c r="D255" s="134" t="s">
        <v>359</v>
      </c>
      <c r="E255" s="131" t="s">
        <v>1174</v>
      </c>
    </row>
    <row r="256" spans="1:5" x14ac:dyDescent="0.25">
      <c r="A256" s="131" t="s">
        <v>701</v>
      </c>
      <c r="B256" s="102" t="s">
        <v>119</v>
      </c>
      <c r="C256" s="102" t="s">
        <v>119</v>
      </c>
      <c r="D256" s="134" t="s">
        <v>358</v>
      </c>
      <c r="E256" s="131" t="s">
        <v>655</v>
      </c>
    </row>
    <row r="257" spans="1:5" x14ac:dyDescent="0.25">
      <c r="A257" s="131" t="s">
        <v>919</v>
      </c>
      <c r="B257" s="102" t="s">
        <v>121</v>
      </c>
      <c r="C257" s="102" t="s">
        <v>120</v>
      </c>
      <c r="D257" s="134" t="s">
        <v>360</v>
      </c>
      <c r="E257" s="131" t="s">
        <v>920</v>
      </c>
    </row>
    <row r="258" spans="1:5" x14ac:dyDescent="0.25">
      <c r="A258" s="131" t="s">
        <v>921</v>
      </c>
      <c r="B258" s="102" t="s">
        <v>362</v>
      </c>
      <c r="C258" s="102" t="s">
        <v>120</v>
      </c>
      <c r="D258" s="134" t="s">
        <v>361</v>
      </c>
      <c r="E258" s="131" t="s">
        <v>922</v>
      </c>
    </row>
    <row r="259" spans="1:5" x14ac:dyDescent="0.25">
      <c r="A259" s="131" t="s">
        <v>923</v>
      </c>
      <c r="B259" s="102" t="s">
        <v>367</v>
      </c>
      <c r="C259" s="102" t="s">
        <v>120</v>
      </c>
      <c r="D259" s="134" t="s">
        <v>366</v>
      </c>
      <c r="E259" s="131" t="s">
        <v>924</v>
      </c>
    </row>
    <row r="260" spans="1:5" x14ac:dyDescent="0.25">
      <c r="A260" s="131" t="s">
        <v>1175</v>
      </c>
      <c r="B260" s="102" t="s">
        <v>364</v>
      </c>
      <c r="C260" s="102" t="s">
        <v>120</v>
      </c>
      <c r="D260" s="134" t="s">
        <v>363</v>
      </c>
      <c r="E260" s="131" t="s">
        <v>1176</v>
      </c>
    </row>
    <row r="261" spans="1:5" x14ac:dyDescent="0.25">
      <c r="A261" s="131" t="s">
        <v>925</v>
      </c>
      <c r="B261" s="102" t="s">
        <v>120</v>
      </c>
      <c r="C261" s="102" t="s">
        <v>120</v>
      </c>
      <c r="D261" s="134" t="s">
        <v>365</v>
      </c>
      <c r="E261" s="131" t="s">
        <v>926</v>
      </c>
    </row>
    <row r="262" spans="1:5" x14ac:dyDescent="0.25">
      <c r="A262" s="131" t="s">
        <v>927</v>
      </c>
      <c r="B262" s="102" t="s">
        <v>169</v>
      </c>
      <c r="C262" s="102" t="s">
        <v>111</v>
      </c>
      <c r="D262" s="134" t="s">
        <v>422</v>
      </c>
      <c r="E262" s="131" t="s">
        <v>928</v>
      </c>
    </row>
    <row r="263" spans="1:5" x14ac:dyDescent="0.25">
      <c r="A263" s="131" t="s">
        <v>929</v>
      </c>
      <c r="B263" s="102" t="s">
        <v>169</v>
      </c>
      <c r="C263" s="102" t="s">
        <v>111</v>
      </c>
      <c r="D263" s="134" t="s">
        <v>421</v>
      </c>
      <c r="E263" s="131" t="s">
        <v>930</v>
      </c>
    </row>
    <row r="264" spans="1:5" x14ac:dyDescent="0.25">
      <c r="A264" s="131" t="s">
        <v>931</v>
      </c>
      <c r="B264" s="102" t="s">
        <v>169</v>
      </c>
      <c r="C264" s="102" t="s">
        <v>111</v>
      </c>
      <c r="D264" s="134">
        <v>56100</v>
      </c>
      <c r="E264" s="131" t="s">
        <v>932</v>
      </c>
    </row>
    <row r="265" spans="1:5" x14ac:dyDescent="0.25">
      <c r="A265" s="131" t="s">
        <v>933</v>
      </c>
      <c r="B265" s="102" t="s">
        <v>416</v>
      </c>
      <c r="C265" s="102" t="s">
        <v>111</v>
      </c>
      <c r="D265" s="134" t="s">
        <v>415</v>
      </c>
      <c r="E265" s="131" t="s">
        <v>934</v>
      </c>
    </row>
    <row r="266" spans="1:5" x14ac:dyDescent="0.25">
      <c r="A266" s="131" t="s">
        <v>1177</v>
      </c>
      <c r="B266" s="102" t="s">
        <v>399</v>
      </c>
      <c r="C266" s="102" t="s">
        <v>111</v>
      </c>
      <c r="D266" s="134">
        <v>54190</v>
      </c>
      <c r="E266" s="131" t="s">
        <v>1178</v>
      </c>
    </row>
    <row r="267" spans="1:5" x14ac:dyDescent="0.25">
      <c r="A267" s="131" t="s">
        <v>1179</v>
      </c>
      <c r="B267" s="102" t="s">
        <v>391</v>
      </c>
      <c r="C267" s="102" t="s">
        <v>111</v>
      </c>
      <c r="D267" s="134" t="s">
        <v>390</v>
      </c>
      <c r="E267" s="131" t="s">
        <v>1180</v>
      </c>
    </row>
    <row r="268" spans="1:5" x14ac:dyDescent="0.25">
      <c r="A268" s="131" t="s">
        <v>702</v>
      </c>
      <c r="B268" s="102" t="s">
        <v>247</v>
      </c>
      <c r="C268" s="102" t="s">
        <v>111</v>
      </c>
      <c r="D268" s="134" t="s">
        <v>417</v>
      </c>
      <c r="E268" s="131" t="s">
        <v>418</v>
      </c>
    </row>
    <row r="269" spans="1:5" x14ac:dyDescent="0.25">
      <c r="A269" s="131" t="s">
        <v>935</v>
      </c>
      <c r="B269" s="102" t="s">
        <v>77</v>
      </c>
      <c r="C269" s="102" t="s">
        <v>77</v>
      </c>
      <c r="D269" s="134" t="s">
        <v>392</v>
      </c>
      <c r="E269" s="131" t="s">
        <v>936</v>
      </c>
    </row>
    <row r="270" spans="1:5" x14ac:dyDescent="0.25">
      <c r="A270" s="131" t="s">
        <v>1181</v>
      </c>
      <c r="B270" s="102" t="s">
        <v>408</v>
      </c>
      <c r="C270" s="102" t="s">
        <v>111</v>
      </c>
      <c r="D270" s="134" t="s">
        <v>407</v>
      </c>
      <c r="E270" s="131" t="s">
        <v>1182</v>
      </c>
    </row>
    <row r="271" spans="1:5" x14ac:dyDescent="0.25">
      <c r="A271" s="131" t="s">
        <v>703</v>
      </c>
      <c r="B271" s="102" t="s">
        <v>399</v>
      </c>
      <c r="C271" s="102" t="s">
        <v>111</v>
      </c>
      <c r="D271" s="134" t="s">
        <v>398</v>
      </c>
      <c r="E271" s="131" t="s">
        <v>400</v>
      </c>
    </row>
    <row r="272" spans="1:5" x14ac:dyDescent="0.25">
      <c r="A272" s="131" t="s">
        <v>937</v>
      </c>
      <c r="B272" s="102" t="s">
        <v>77</v>
      </c>
      <c r="C272" s="102" t="s">
        <v>77</v>
      </c>
      <c r="D272" s="134" t="s">
        <v>163</v>
      </c>
      <c r="E272" s="131" t="s">
        <v>938</v>
      </c>
    </row>
    <row r="273" spans="1:5" x14ac:dyDescent="0.25">
      <c r="A273" s="131" t="s">
        <v>939</v>
      </c>
      <c r="B273" s="102" t="s">
        <v>429</v>
      </c>
      <c r="C273" s="102" t="s">
        <v>111</v>
      </c>
      <c r="D273" s="134" t="s">
        <v>428</v>
      </c>
      <c r="E273" s="131" t="s">
        <v>940</v>
      </c>
    </row>
    <row r="274" spans="1:5" x14ac:dyDescent="0.25">
      <c r="A274" s="131" t="s">
        <v>704</v>
      </c>
      <c r="B274" s="102" t="s">
        <v>169</v>
      </c>
      <c r="C274" s="102" t="s">
        <v>111</v>
      </c>
      <c r="D274" s="134" t="s">
        <v>435</v>
      </c>
      <c r="E274" s="131" t="s">
        <v>436</v>
      </c>
    </row>
    <row r="275" spans="1:5" x14ac:dyDescent="0.25">
      <c r="A275" s="131" t="s">
        <v>941</v>
      </c>
      <c r="B275" s="102" t="s">
        <v>397</v>
      </c>
      <c r="C275" s="102" t="s">
        <v>111</v>
      </c>
      <c r="D275" s="134" t="s">
        <v>396</v>
      </c>
      <c r="E275" s="131" t="s">
        <v>942</v>
      </c>
    </row>
    <row r="276" spans="1:5" x14ac:dyDescent="0.25">
      <c r="A276" s="131" t="s">
        <v>705</v>
      </c>
      <c r="B276" s="102" t="s">
        <v>111</v>
      </c>
      <c r="C276" s="102" t="s">
        <v>111</v>
      </c>
      <c r="D276" s="134" t="s">
        <v>401</v>
      </c>
      <c r="E276" s="131" t="s">
        <v>402</v>
      </c>
    </row>
    <row r="277" spans="1:5" x14ac:dyDescent="0.25">
      <c r="A277" s="131" t="s">
        <v>706</v>
      </c>
      <c r="B277" s="102" t="s">
        <v>111</v>
      </c>
      <c r="C277" s="102" t="s">
        <v>111</v>
      </c>
      <c r="D277" s="134" t="s">
        <v>403</v>
      </c>
      <c r="E277" s="131" t="s">
        <v>404</v>
      </c>
    </row>
    <row r="278" spans="1:5" x14ac:dyDescent="0.25">
      <c r="A278" s="131" t="s">
        <v>943</v>
      </c>
      <c r="B278" s="102" t="s">
        <v>111</v>
      </c>
      <c r="C278" s="102" t="s">
        <v>111</v>
      </c>
      <c r="D278" s="134" t="s">
        <v>405</v>
      </c>
      <c r="E278" s="131" t="s">
        <v>944</v>
      </c>
    </row>
    <row r="279" spans="1:5" x14ac:dyDescent="0.25">
      <c r="A279" s="131" t="s">
        <v>945</v>
      </c>
      <c r="B279" s="102" t="s">
        <v>411</v>
      </c>
      <c r="C279" s="102" t="s">
        <v>111</v>
      </c>
      <c r="D279" s="134" t="s">
        <v>410</v>
      </c>
      <c r="E279" s="131" t="s">
        <v>946</v>
      </c>
    </row>
    <row r="280" spans="1:5" x14ac:dyDescent="0.25">
      <c r="A280" s="131" t="s">
        <v>947</v>
      </c>
      <c r="B280" s="102" t="s">
        <v>426</v>
      </c>
      <c r="C280" s="102" t="s">
        <v>111</v>
      </c>
      <c r="D280" s="134">
        <v>50963</v>
      </c>
      <c r="E280" s="131" t="s">
        <v>948</v>
      </c>
    </row>
    <row r="281" spans="1:5" x14ac:dyDescent="0.25">
      <c r="A281" s="131" t="s">
        <v>949</v>
      </c>
      <c r="B281" s="102" t="s">
        <v>434</v>
      </c>
      <c r="C281" s="102" t="s">
        <v>111</v>
      </c>
      <c r="D281" s="134" t="s">
        <v>433</v>
      </c>
      <c r="E281" s="131" t="s">
        <v>950</v>
      </c>
    </row>
    <row r="282" spans="1:5" x14ac:dyDescent="0.25">
      <c r="A282" s="131" t="s">
        <v>951</v>
      </c>
      <c r="B282" s="102" t="s">
        <v>111</v>
      </c>
      <c r="C282" s="102" t="s">
        <v>111</v>
      </c>
      <c r="D282" s="134" t="s">
        <v>406</v>
      </c>
      <c r="E282" s="131" t="s">
        <v>952</v>
      </c>
    </row>
    <row r="283" spans="1:5" x14ac:dyDescent="0.25">
      <c r="A283" s="131" t="s">
        <v>707</v>
      </c>
      <c r="B283" s="102" t="s">
        <v>239</v>
      </c>
      <c r="C283" s="102" t="s">
        <v>111</v>
      </c>
      <c r="D283" s="134" t="s">
        <v>419</v>
      </c>
      <c r="E283" s="131" t="s">
        <v>420</v>
      </c>
    </row>
    <row r="284" spans="1:5" x14ac:dyDescent="0.25">
      <c r="A284" s="131" t="s">
        <v>747</v>
      </c>
      <c r="B284" s="102" t="s">
        <v>663</v>
      </c>
      <c r="C284" s="102" t="s">
        <v>106</v>
      </c>
      <c r="D284" s="134" t="s">
        <v>414</v>
      </c>
      <c r="E284" s="131" t="s">
        <v>662</v>
      </c>
    </row>
    <row r="285" spans="1:5" x14ac:dyDescent="0.25">
      <c r="A285" s="131" t="s">
        <v>953</v>
      </c>
      <c r="B285" s="102" t="s">
        <v>664</v>
      </c>
      <c r="C285" s="102" t="s">
        <v>106</v>
      </c>
      <c r="D285" s="134" t="s">
        <v>413</v>
      </c>
      <c r="E285" s="131" t="s">
        <v>954</v>
      </c>
    </row>
    <row r="286" spans="1:5" x14ac:dyDescent="0.25">
      <c r="A286" s="131" t="s">
        <v>955</v>
      </c>
      <c r="B286" s="102" t="s">
        <v>395</v>
      </c>
      <c r="C286" s="102" t="s">
        <v>111</v>
      </c>
      <c r="D286" s="134" t="s">
        <v>394</v>
      </c>
      <c r="E286" s="131" t="s">
        <v>956</v>
      </c>
    </row>
    <row r="287" spans="1:5" x14ac:dyDescent="0.25">
      <c r="A287" s="131" t="s">
        <v>957</v>
      </c>
      <c r="B287" s="102" t="s">
        <v>95</v>
      </c>
      <c r="C287" s="102" t="s">
        <v>111</v>
      </c>
      <c r="D287" s="134" t="s">
        <v>409</v>
      </c>
      <c r="E287" s="131" t="s">
        <v>958</v>
      </c>
    </row>
    <row r="288" spans="1:5" x14ac:dyDescent="0.25">
      <c r="A288" s="131" t="s">
        <v>708</v>
      </c>
      <c r="B288" s="102" t="s">
        <v>424</v>
      </c>
      <c r="C288" s="102" t="s">
        <v>105</v>
      </c>
      <c r="D288" s="134" t="s">
        <v>423</v>
      </c>
      <c r="E288" s="131" t="s">
        <v>425</v>
      </c>
    </row>
    <row r="289" spans="1:5" x14ac:dyDescent="0.25">
      <c r="A289" s="131" t="s">
        <v>959</v>
      </c>
      <c r="B289" s="102" t="s">
        <v>412</v>
      </c>
      <c r="C289" s="102" t="s">
        <v>111</v>
      </c>
      <c r="D289" s="134" t="s">
        <v>401</v>
      </c>
      <c r="E289" s="131" t="s">
        <v>960</v>
      </c>
    </row>
    <row r="290" spans="1:5" x14ac:dyDescent="0.25">
      <c r="A290" s="131" t="s">
        <v>961</v>
      </c>
      <c r="B290" s="102" t="s">
        <v>169</v>
      </c>
      <c r="C290" s="102" t="s">
        <v>111</v>
      </c>
      <c r="D290" s="134" t="s">
        <v>422</v>
      </c>
      <c r="E290" s="131" t="s">
        <v>962</v>
      </c>
    </row>
    <row r="291" spans="1:5" x14ac:dyDescent="0.25">
      <c r="A291" s="131" t="s">
        <v>963</v>
      </c>
      <c r="B291" s="102" t="s">
        <v>77</v>
      </c>
      <c r="C291" s="102" t="s">
        <v>77</v>
      </c>
      <c r="D291" s="134" t="s">
        <v>393</v>
      </c>
      <c r="E291" s="131" t="s">
        <v>964</v>
      </c>
    </row>
    <row r="292" spans="1:5" x14ac:dyDescent="0.25">
      <c r="A292" s="131" t="s">
        <v>1183</v>
      </c>
      <c r="B292" s="102" t="s">
        <v>434</v>
      </c>
      <c r="C292" s="102" t="s">
        <v>111</v>
      </c>
      <c r="D292" s="134">
        <v>51230</v>
      </c>
      <c r="E292" s="131" t="s">
        <v>1184</v>
      </c>
    </row>
    <row r="293" spans="1:5" x14ac:dyDescent="0.25">
      <c r="A293" s="131" t="s">
        <v>709</v>
      </c>
      <c r="B293" s="102" t="s">
        <v>426</v>
      </c>
      <c r="C293" s="102" t="s">
        <v>111</v>
      </c>
      <c r="D293" s="134">
        <v>50290</v>
      </c>
      <c r="E293" s="131" t="s">
        <v>427</v>
      </c>
    </row>
    <row r="294" spans="1:5" x14ac:dyDescent="0.25">
      <c r="A294" s="131" t="s">
        <v>710</v>
      </c>
      <c r="B294" s="102" t="s">
        <v>431</v>
      </c>
      <c r="C294" s="102" t="s">
        <v>111</v>
      </c>
      <c r="D294" s="134" t="s">
        <v>430</v>
      </c>
      <c r="E294" s="131" t="s">
        <v>432</v>
      </c>
    </row>
    <row r="295" spans="1:5" x14ac:dyDescent="0.25">
      <c r="A295" s="131" t="s">
        <v>965</v>
      </c>
      <c r="B295" s="102" t="s">
        <v>660</v>
      </c>
      <c r="C295" s="102" t="s">
        <v>122</v>
      </c>
      <c r="D295" s="134" t="s">
        <v>438</v>
      </c>
      <c r="E295" s="131" t="s">
        <v>966</v>
      </c>
    </row>
    <row r="296" spans="1:5" x14ac:dyDescent="0.25">
      <c r="A296" s="131" t="s">
        <v>711</v>
      </c>
      <c r="B296" s="102" t="s">
        <v>660</v>
      </c>
      <c r="C296" s="102" t="s">
        <v>122</v>
      </c>
      <c r="D296" s="134" t="s">
        <v>439</v>
      </c>
      <c r="E296" s="131" t="s">
        <v>440</v>
      </c>
    </row>
    <row r="297" spans="1:5" x14ac:dyDescent="0.25">
      <c r="A297" s="131" t="s">
        <v>712</v>
      </c>
      <c r="B297" s="102" t="s">
        <v>661</v>
      </c>
      <c r="C297" s="102" t="s">
        <v>122</v>
      </c>
      <c r="D297" s="134" t="s">
        <v>441</v>
      </c>
      <c r="E297" s="131" t="s">
        <v>442</v>
      </c>
    </row>
    <row r="298" spans="1:5" x14ac:dyDescent="0.25">
      <c r="A298" s="131" t="s">
        <v>967</v>
      </c>
      <c r="B298" s="102" t="s">
        <v>660</v>
      </c>
      <c r="C298" s="102" t="s">
        <v>122</v>
      </c>
      <c r="D298" s="134" t="s">
        <v>437</v>
      </c>
      <c r="E298" s="131" t="s">
        <v>968</v>
      </c>
    </row>
    <row r="299" spans="1:5" x14ac:dyDescent="0.25">
      <c r="A299" s="131" t="s">
        <v>969</v>
      </c>
      <c r="B299" s="102" t="s">
        <v>444</v>
      </c>
      <c r="C299" s="102" t="s">
        <v>135</v>
      </c>
      <c r="D299" s="134" t="s">
        <v>443</v>
      </c>
      <c r="E299" s="131" t="s">
        <v>970</v>
      </c>
    </row>
    <row r="300" spans="1:5" x14ac:dyDescent="0.25">
      <c r="A300" s="131" t="s">
        <v>1185</v>
      </c>
      <c r="B300" s="102" t="s">
        <v>123</v>
      </c>
      <c r="C300" s="102" t="s">
        <v>100</v>
      </c>
      <c r="D300" s="134" t="s">
        <v>449</v>
      </c>
      <c r="E300" s="131" t="s">
        <v>1186</v>
      </c>
    </row>
    <row r="301" spans="1:5" x14ac:dyDescent="0.25">
      <c r="A301" s="131" t="s">
        <v>1187</v>
      </c>
      <c r="B301" s="102" t="s">
        <v>445</v>
      </c>
      <c r="C301" s="102" t="s">
        <v>102</v>
      </c>
      <c r="D301" s="134" t="s">
        <v>448</v>
      </c>
      <c r="E301" s="131" t="s">
        <v>1188</v>
      </c>
    </row>
    <row r="302" spans="1:5" x14ac:dyDescent="0.25">
      <c r="A302" s="131" t="s">
        <v>1189</v>
      </c>
      <c r="B302" s="102" t="s">
        <v>453</v>
      </c>
      <c r="C302" s="102" t="s">
        <v>100</v>
      </c>
      <c r="D302" s="134" t="s">
        <v>452</v>
      </c>
      <c r="E302" s="131" t="s">
        <v>1190</v>
      </c>
    </row>
    <row r="303" spans="1:5" x14ac:dyDescent="0.25">
      <c r="A303" s="131" t="s">
        <v>1191</v>
      </c>
      <c r="B303" s="102" t="s">
        <v>455</v>
      </c>
      <c r="C303" s="102" t="s">
        <v>100</v>
      </c>
      <c r="D303" s="134" t="s">
        <v>454</v>
      </c>
      <c r="E303" s="131" t="s">
        <v>1192</v>
      </c>
    </row>
    <row r="304" spans="1:5" x14ac:dyDescent="0.25">
      <c r="A304" s="131" t="s">
        <v>1193</v>
      </c>
      <c r="B304" s="102" t="s">
        <v>123</v>
      </c>
      <c r="C304" s="102" t="s">
        <v>100</v>
      </c>
      <c r="D304" s="134" t="s">
        <v>447</v>
      </c>
      <c r="E304" s="131" t="s">
        <v>1194</v>
      </c>
    </row>
    <row r="305" spans="1:5" x14ac:dyDescent="0.25">
      <c r="A305" s="131" t="s">
        <v>1195</v>
      </c>
      <c r="B305" s="102" t="s">
        <v>457</v>
      </c>
      <c r="C305" s="102" t="s">
        <v>100</v>
      </c>
      <c r="D305" s="134" t="s">
        <v>456</v>
      </c>
      <c r="E305" s="131" t="s">
        <v>1196</v>
      </c>
    </row>
    <row r="306" spans="1:5" x14ac:dyDescent="0.25">
      <c r="A306" s="131" t="s">
        <v>1197</v>
      </c>
      <c r="B306" s="102" t="s">
        <v>451</v>
      </c>
      <c r="C306" s="102" t="s">
        <v>102</v>
      </c>
      <c r="D306" s="134" t="s">
        <v>450</v>
      </c>
      <c r="E306" s="131" t="s">
        <v>1198</v>
      </c>
    </row>
    <row r="307" spans="1:5" x14ac:dyDescent="0.25">
      <c r="A307" s="131" t="s">
        <v>713</v>
      </c>
      <c r="B307" s="102" t="s">
        <v>445</v>
      </c>
      <c r="C307" s="102" t="s">
        <v>102</v>
      </c>
      <c r="D307" s="134">
        <v>34154</v>
      </c>
      <c r="E307" s="131" t="s">
        <v>446</v>
      </c>
    </row>
    <row r="308" spans="1:5" x14ac:dyDescent="0.25">
      <c r="A308" s="131" t="s">
        <v>971</v>
      </c>
      <c r="B308" s="102" t="s">
        <v>461</v>
      </c>
      <c r="C308" s="102" t="s">
        <v>125</v>
      </c>
      <c r="D308" s="134" t="s">
        <v>460</v>
      </c>
      <c r="E308" s="131" t="s">
        <v>972</v>
      </c>
    </row>
    <row r="309" spans="1:5" x14ac:dyDescent="0.25">
      <c r="A309" s="131" t="s">
        <v>973</v>
      </c>
      <c r="B309" s="102" t="s">
        <v>466</v>
      </c>
      <c r="C309" s="102" t="s">
        <v>125</v>
      </c>
      <c r="D309" s="134" t="s">
        <v>465</v>
      </c>
      <c r="E309" s="131" t="s">
        <v>974</v>
      </c>
    </row>
    <row r="310" spans="1:5" x14ac:dyDescent="0.25">
      <c r="A310" s="131" t="s">
        <v>975</v>
      </c>
      <c r="B310" s="102" t="s">
        <v>468</v>
      </c>
      <c r="C310" s="102" t="s">
        <v>125</v>
      </c>
      <c r="D310" s="134" t="s">
        <v>467</v>
      </c>
      <c r="E310" s="131" t="s">
        <v>976</v>
      </c>
    </row>
    <row r="311" spans="1:5" x14ac:dyDescent="0.25">
      <c r="A311" s="131" t="s">
        <v>977</v>
      </c>
      <c r="B311" s="102" t="s">
        <v>464</v>
      </c>
      <c r="C311" s="102" t="s">
        <v>125</v>
      </c>
      <c r="D311" s="134" t="s">
        <v>463</v>
      </c>
      <c r="E311" s="131" t="s">
        <v>978</v>
      </c>
    </row>
    <row r="312" spans="1:5" x14ac:dyDescent="0.25">
      <c r="A312" s="131" t="s">
        <v>1199</v>
      </c>
      <c r="B312" s="102" t="s">
        <v>477</v>
      </c>
      <c r="C312" s="102" t="s">
        <v>125</v>
      </c>
      <c r="D312" s="134" t="s">
        <v>476</v>
      </c>
      <c r="E312" s="131" t="s">
        <v>1200</v>
      </c>
    </row>
    <row r="313" spans="1:5" x14ac:dyDescent="0.25">
      <c r="A313" s="131" t="s">
        <v>979</v>
      </c>
      <c r="B313" s="102" t="s">
        <v>472</v>
      </c>
      <c r="C313" s="102" t="s">
        <v>125</v>
      </c>
      <c r="D313" s="134" t="s">
        <v>471</v>
      </c>
      <c r="E313" s="131" t="s">
        <v>980</v>
      </c>
    </row>
    <row r="314" spans="1:5" x14ac:dyDescent="0.25">
      <c r="A314" s="131" t="s">
        <v>981</v>
      </c>
      <c r="B314" s="102" t="s">
        <v>472</v>
      </c>
      <c r="C314" s="102" t="s">
        <v>125</v>
      </c>
      <c r="D314" s="134" t="s">
        <v>462</v>
      </c>
      <c r="E314" s="131" t="s">
        <v>982</v>
      </c>
    </row>
    <row r="315" spans="1:5" x14ac:dyDescent="0.25">
      <c r="A315" s="131" t="s">
        <v>983</v>
      </c>
      <c r="B315" s="102" t="s">
        <v>124</v>
      </c>
      <c r="C315" s="102" t="s">
        <v>125</v>
      </c>
      <c r="D315" s="134" t="s">
        <v>473</v>
      </c>
      <c r="E315" s="131" t="s">
        <v>984</v>
      </c>
    </row>
    <row r="316" spans="1:5" x14ac:dyDescent="0.25">
      <c r="A316" s="131" t="s">
        <v>985</v>
      </c>
      <c r="B316" s="102" t="s">
        <v>466</v>
      </c>
      <c r="C316" s="102" t="s">
        <v>125</v>
      </c>
      <c r="D316" s="134" t="s">
        <v>478</v>
      </c>
      <c r="E316" s="131" t="s">
        <v>986</v>
      </c>
    </row>
    <row r="317" spans="1:5" x14ac:dyDescent="0.25">
      <c r="A317" s="131" t="s">
        <v>987</v>
      </c>
      <c r="B317" s="102" t="s">
        <v>475</v>
      </c>
      <c r="C317" s="102" t="s">
        <v>125</v>
      </c>
      <c r="D317" s="134" t="s">
        <v>474</v>
      </c>
      <c r="E317" s="131" t="s">
        <v>988</v>
      </c>
    </row>
    <row r="318" spans="1:5" x14ac:dyDescent="0.25">
      <c r="A318" s="131" t="s">
        <v>989</v>
      </c>
      <c r="B318" s="102" t="s">
        <v>470</v>
      </c>
      <c r="C318" s="102" t="s">
        <v>125</v>
      </c>
      <c r="D318" s="134" t="s">
        <v>469</v>
      </c>
      <c r="E318" s="131" t="s">
        <v>990</v>
      </c>
    </row>
    <row r="319" spans="1:5" x14ac:dyDescent="0.25">
      <c r="A319" s="131" t="s">
        <v>991</v>
      </c>
      <c r="B319" s="102" t="s">
        <v>459</v>
      </c>
      <c r="C319" s="102" t="s">
        <v>125</v>
      </c>
      <c r="D319" s="134" t="s">
        <v>458</v>
      </c>
      <c r="E319" s="131" t="s">
        <v>992</v>
      </c>
    </row>
    <row r="320" spans="1:5" x14ac:dyDescent="0.25">
      <c r="A320" s="131" t="s">
        <v>993</v>
      </c>
      <c r="B320" s="102" t="s">
        <v>480</v>
      </c>
      <c r="C320" s="102" t="s">
        <v>126</v>
      </c>
      <c r="D320" s="134" t="s">
        <v>479</v>
      </c>
      <c r="E320" s="131" t="s">
        <v>994</v>
      </c>
    </row>
    <row r="321" spans="1:5" x14ac:dyDescent="0.25">
      <c r="A321" s="131" t="s">
        <v>995</v>
      </c>
      <c r="B321" s="102" t="s">
        <v>480</v>
      </c>
      <c r="C321" s="102" t="s">
        <v>126</v>
      </c>
      <c r="D321" s="134" t="s">
        <v>479</v>
      </c>
      <c r="E321" s="131" t="s">
        <v>996</v>
      </c>
    </row>
    <row r="322" spans="1:5" x14ac:dyDescent="0.25">
      <c r="A322" s="131" t="s">
        <v>997</v>
      </c>
      <c r="B322" s="102" t="s">
        <v>482</v>
      </c>
      <c r="C322" s="102" t="s">
        <v>126</v>
      </c>
      <c r="D322" s="134" t="s">
        <v>484</v>
      </c>
      <c r="E322" s="131" t="s">
        <v>998</v>
      </c>
    </row>
    <row r="323" spans="1:5" x14ac:dyDescent="0.25">
      <c r="A323" s="131" t="s">
        <v>999</v>
      </c>
      <c r="B323" s="102" t="s">
        <v>493</v>
      </c>
      <c r="C323" s="102" t="s">
        <v>126</v>
      </c>
      <c r="D323" s="134" t="s">
        <v>492</v>
      </c>
      <c r="E323" s="131" t="s">
        <v>1000</v>
      </c>
    </row>
    <row r="324" spans="1:5" x14ac:dyDescent="0.25">
      <c r="A324" s="131" t="s">
        <v>1201</v>
      </c>
      <c r="B324" s="102" t="s">
        <v>487</v>
      </c>
      <c r="C324" s="102" t="s">
        <v>126</v>
      </c>
      <c r="D324" s="134" t="s">
        <v>486</v>
      </c>
      <c r="E324" s="131" t="s">
        <v>1202</v>
      </c>
    </row>
    <row r="325" spans="1:5" x14ac:dyDescent="0.25">
      <c r="A325" s="131" t="s">
        <v>1001</v>
      </c>
      <c r="B325" s="102" t="s">
        <v>482</v>
      </c>
      <c r="C325" s="102" t="s">
        <v>126</v>
      </c>
      <c r="D325" s="134" t="s">
        <v>481</v>
      </c>
      <c r="E325" s="131" t="s">
        <v>1002</v>
      </c>
    </row>
    <row r="326" spans="1:5" x14ac:dyDescent="0.25">
      <c r="A326" s="131" t="s">
        <v>1003</v>
      </c>
      <c r="B326" s="102" t="s">
        <v>143</v>
      </c>
      <c r="C326" s="102" t="s">
        <v>126</v>
      </c>
      <c r="D326" s="134" t="s">
        <v>494</v>
      </c>
      <c r="E326" s="131" t="s">
        <v>1004</v>
      </c>
    </row>
    <row r="327" spans="1:5" x14ac:dyDescent="0.25">
      <c r="A327" s="131" t="s">
        <v>1005</v>
      </c>
      <c r="B327" s="102" t="s">
        <v>495</v>
      </c>
      <c r="C327" s="102" t="s">
        <v>126</v>
      </c>
      <c r="D327" s="134">
        <v>96376</v>
      </c>
      <c r="E327" s="131" t="s">
        <v>1006</v>
      </c>
    </row>
    <row r="328" spans="1:5" x14ac:dyDescent="0.25">
      <c r="A328" s="131" t="s">
        <v>1007</v>
      </c>
      <c r="B328" s="102" t="s">
        <v>1008</v>
      </c>
      <c r="C328" s="102" t="s">
        <v>126</v>
      </c>
      <c r="D328" s="134">
        <v>96986</v>
      </c>
      <c r="E328" s="131" t="s">
        <v>1009</v>
      </c>
    </row>
    <row r="329" spans="1:5" x14ac:dyDescent="0.25">
      <c r="A329" s="131" t="s">
        <v>1010</v>
      </c>
      <c r="B329" s="102" t="s">
        <v>489</v>
      </c>
      <c r="C329" s="102" t="s">
        <v>135</v>
      </c>
      <c r="D329" s="134" t="s">
        <v>488</v>
      </c>
      <c r="E329" s="131" t="s">
        <v>1011</v>
      </c>
    </row>
    <row r="330" spans="1:5" x14ac:dyDescent="0.25">
      <c r="A330" s="131" t="s">
        <v>1012</v>
      </c>
      <c r="B330" s="102" t="s">
        <v>482</v>
      </c>
      <c r="C330" s="102" t="s">
        <v>126</v>
      </c>
      <c r="D330" s="134" t="s">
        <v>483</v>
      </c>
      <c r="E330" s="131" t="s">
        <v>1013</v>
      </c>
    </row>
    <row r="331" spans="1:5" x14ac:dyDescent="0.25">
      <c r="A331" s="131" t="s">
        <v>1014</v>
      </c>
      <c r="B331" s="102" t="s">
        <v>491</v>
      </c>
      <c r="C331" s="102" t="s">
        <v>126</v>
      </c>
      <c r="D331" s="134" t="s">
        <v>490</v>
      </c>
      <c r="E331" s="131" t="s">
        <v>1015</v>
      </c>
    </row>
    <row r="332" spans="1:5" x14ac:dyDescent="0.25">
      <c r="A332" s="131" t="s">
        <v>1203</v>
      </c>
      <c r="B332" s="102" t="s">
        <v>1016</v>
      </c>
      <c r="C332" s="102" t="s">
        <v>126</v>
      </c>
      <c r="D332" s="134" t="s">
        <v>485</v>
      </c>
      <c r="E332" s="131" t="s">
        <v>1204</v>
      </c>
    </row>
    <row r="333" spans="1:5" x14ac:dyDescent="0.25">
      <c r="A333" s="131" t="s">
        <v>1017</v>
      </c>
      <c r="B333" s="102" t="s">
        <v>382</v>
      </c>
      <c r="C333" s="102" t="s">
        <v>141</v>
      </c>
      <c r="D333" s="134" t="s">
        <v>381</v>
      </c>
      <c r="E333" s="131" t="s">
        <v>1018</v>
      </c>
    </row>
    <row r="334" spans="1:5" x14ac:dyDescent="0.25">
      <c r="A334" s="131" t="s">
        <v>1019</v>
      </c>
      <c r="B334" s="102" t="s">
        <v>388</v>
      </c>
      <c r="C334" s="102" t="s">
        <v>128</v>
      </c>
      <c r="D334" s="134" t="s">
        <v>387</v>
      </c>
      <c r="E334" s="131" t="s">
        <v>1020</v>
      </c>
    </row>
    <row r="335" spans="1:5" x14ac:dyDescent="0.25">
      <c r="A335" s="131" t="s">
        <v>1205</v>
      </c>
      <c r="B335" s="102" t="s">
        <v>1206</v>
      </c>
      <c r="C335" s="102" t="s">
        <v>128</v>
      </c>
      <c r="D335" s="134" t="s">
        <v>389</v>
      </c>
      <c r="E335" s="131" t="s">
        <v>1207</v>
      </c>
    </row>
    <row r="336" spans="1:5" x14ac:dyDescent="0.25">
      <c r="A336" s="131" t="s">
        <v>714</v>
      </c>
      <c r="B336" s="102" t="s">
        <v>127</v>
      </c>
      <c r="C336" s="102" t="s">
        <v>128</v>
      </c>
      <c r="D336" s="134" t="s">
        <v>379</v>
      </c>
      <c r="E336" s="131" t="s">
        <v>380</v>
      </c>
    </row>
    <row r="337" spans="1:5" x14ac:dyDescent="0.25">
      <c r="A337" s="131" t="s">
        <v>1021</v>
      </c>
      <c r="B337" s="133" t="s">
        <v>1022</v>
      </c>
      <c r="C337" s="102" t="s">
        <v>128</v>
      </c>
      <c r="D337" s="134" t="s">
        <v>371</v>
      </c>
      <c r="E337" s="131" t="s">
        <v>1023</v>
      </c>
    </row>
    <row r="338" spans="1:5" x14ac:dyDescent="0.25">
      <c r="A338" s="131" t="s">
        <v>715</v>
      </c>
      <c r="B338" s="102" t="s">
        <v>375</v>
      </c>
      <c r="C338" s="102" t="s">
        <v>128</v>
      </c>
      <c r="D338" s="134" t="s">
        <v>374</v>
      </c>
      <c r="E338" s="131" t="s">
        <v>376</v>
      </c>
    </row>
    <row r="339" spans="1:5" x14ac:dyDescent="0.25">
      <c r="A339" s="131" t="s">
        <v>1024</v>
      </c>
      <c r="B339" s="102" t="s">
        <v>378</v>
      </c>
      <c r="C339" s="102" t="s">
        <v>128</v>
      </c>
      <c r="D339" s="134" t="s">
        <v>377</v>
      </c>
      <c r="E339" s="131" t="s">
        <v>1025</v>
      </c>
    </row>
    <row r="340" spans="1:5" x14ac:dyDescent="0.25">
      <c r="A340" s="131" t="s">
        <v>1026</v>
      </c>
      <c r="B340" s="102" t="s">
        <v>249</v>
      </c>
      <c r="C340" s="102" t="s">
        <v>128</v>
      </c>
      <c r="D340" s="134" t="s">
        <v>368</v>
      </c>
      <c r="E340" s="131" t="s">
        <v>1027</v>
      </c>
    </row>
    <row r="341" spans="1:5" x14ac:dyDescent="0.25">
      <c r="A341" s="131" t="s">
        <v>1208</v>
      </c>
      <c r="B341" s="102" t="s">
        <v>386</v>
      </c>
      <c r="C341" s="102" t="s">
        <v>126</v>
      </c>
      <c r="D341" s="134" t="s">
        <v>385</v>
      </c>
      <c r="E341" s="131" t="s">
        <v>1209</v>
      </c>
    </row>
    <row r="342" spans="1:5" x14ac:dyDescent="0.25">
      <c r="A342" s="131" t="s">
        <v>1028</v>
      </c>
      <c r="B342" s="102" t="s">
        <v>370</v>
      </c>
      <c r="C342" s="102" t="s">
        <v>128</v>
      </c>
      <c r="D342" s="134" t="s">
        <v>369</v>
      </c>
      <c r="E342" s="131" t="s">
        <v>1029</v>
      </c>
    </row>
    <row r="343" spans="1:5" x14ac:dyDescent="0.25">
      <c r="A343" s="131" t="s">
        <v>716</v>
      </c>
      <c r="B343" s="102" t="s">
        <v>127</v>
      </c>
      <c r="C343" s="102" t="s">
        <v>128</v>
      </c>
      <c r="D343" s="134" t="s">
        <v>372</v>
      </c>
      <c r="E343" s="131" t="s">
        <v>373</v>
      </c>
    </row>
    <row r="344" spans="1:5" x14ac:dyDescent="0.25">
      <c r="A344" s="131" t="s">
        <v>1030</v>
      </c>
      <c r="B344" s="102" t="s">
        <v>384</v>
      </c>
      <c r="C344" s="102" t="s">
        <v>128</v>
      </c>
      <c r="D344" s="134" t="s">
        <v>383</v>
      </c>
      <c r="E344" s="131" t="s">
        <v>1031</v>
      </c>
    </row>
    <row r="345" spans="1:5" x14ac:dyDescent="0.25">
      <c r="A345" s="131" t="s">
        <v>717</v>
      </c>
      <c r="B345" s="102" t="s">
        <v>514</v>
      </c>
      <c r="C345" s="102" t="s">
        <v>130</v>
      </c>
      <c r="D345" s="134" t="s">
        <v>513</v>
      </c>
      <c r="E345" s="131" t="s">
        <v>515</v>
      </c>
    </row>
    <row r="346" spans="1:5" x14ac:dyDescent="0.25">
      <c r="A346" s="131" t="s">
        <v>718</v>
      </c>
      <c r="B346" s="102" t="s">
        <v>505</v>
      </c>
      <c r="C346" s="102" t="s">
        <v>130</v>
      </c>
      <c r="D346" s="134" t="s">
        <v>504</v>
      </c>
      <c r="E346" s="131" t="s">
        <v>506</v>
      </c>
    </row>
    <row r="347" spans="1:5" x14ac:dyDescent="0.25">
      <c r="A347" s="131" t="s">
        <v>719</v>
      </c>
      <c r="B347" s="102" t="s">
        <v>517</v>
      </c>
      <c r="C347" s="102" t="s">
        <v>130</v>
      </c>
      <c r="D347" s="134" t="s">
        <v>516</v>
      </c>
      <c r="E347" s="131" t="s">
        <v>518</v>
      </c>
    </row>
    <row r="348" spans="1:5" x14ac:dyDescent="0.25">
      <c r="A348" s="131" t="s">
        <v>720</v>
      </c>
      <c r="B348" s="102" t="s">
        <v>129</v>
      </c>
      <c r="C348" s="102" t="s">
        <v>130</v>
      </c>
      <c r="D348" s="134" t="s">
        <v>507</v>
      </c>
      <c r="E348" s="131" t="s">
        <v>508</v>
      </c>
    </row>
    <row r="349" spans="1:5" x14ac:dyDescent="0.25">
      <c r="A349" s="131" t="s">
        <v>721</v>
      </c>
      <c r="B349" s="102" t="s">
        <v>502</v>
      </c>
      <c r="C349" s="102" t="s">
        <v>130</v>
      </c>
      <c r="D349" s="134" t="s">
        <v>501</v>
      </c>
      <c r="E349" s="131" t="s">
        <v>503</v>
      </c>
    </row>
    <row r="350" spans="1:5" x14ac:dyDescent="0.25">
      <c r="A350" s="131" t="s">
        <v>722</v>
      </c>
      <c r="B350" s="102" t="s">
        <v>520</v>
      </c>
      <c r="C350" s="102" t="s">
        <v>130</v>
      </c>
      <c r="D350" s="134" t="s">
        <v>519</v>
      </c>
      <c r="E350" s="131" t="s">
        <v>521</v>
      </c>
    </row>
    <row r="351" spans="1:5" x14ac:dyDescent="0.25">
      <c r="A351" s="131" t="s">
        <v>723</v>
      </c>
      <c r="B351" s="102" t="s">
        <v>523</v>
      </c>
      <c r="C351" s="102" t="s">
        <v>130</v>
      </c>
      <c r="D351" s="134" t="s">
        <v>522</v>
      </c>
      <c r="E351" s="131" t="s">
        <v>524</v>
      </c>
    </row>
    <row r="352" spans="1:5" x14ac:dyDescent="0.25">
      <c r="A352" s="131" t="s">
        <v>1032</v>
      </c>
      <c r="B352" s="102" t="s">
        <v>500</v>
      </c>
      <c r="C352" s="102" t="s">
        <v>130</v>
      </c>
      <c r="D352" s="134" t="s">
        <v>499</v>
      </c>
      <c r="E352" s="131" t="s">
        <v>1033</v>
      </c>
    </row>
    <row r="353" spans="1:5" x14ac:dyDescent="0.25">
      <c r="A353" s="131" t="s">
        <v>1034</v>
      </c>
      <c r="B353" s="102" t="s">
        <v>512</v>
      </c>
      <c r="C353" s="102" t="s">
        <v>130</v>
      </c>
      <c r="D353" s="134" t="s">
        <v>511</v>
      </c>
      <c r="E353" s="131" t="s">
        <v>1035</v>
      </c>
    </row>
    <row r="354" spans="1:5" x14ac:dyDescent="0.25">
      <c r="A354" s="131" t="s">
        <v>1036</v>
      </c>
      <c r="B354" s="102" t="s">
        <v>520</v>
      </c>
      <c r="C354" s="102" t="s">
        <v>130</v>
      </c>
      <c r="D354" s="134" t="s">
        <v>519</v>
      </c>
      <c r="E354" s="131" t="s">
        <v>1037</v>
      </c>
    </row>
    <row r="355" spans="1:5" x14ac:dyDescent="0.25">
      <c r="A355" s="131" t="s">
        <v>724</v>
      </c>
      <c r="B355" s="102" t="s">
        <v>526</v>
      </c>
      <c r="C355" s="102" t="s">
        <v>130</v>
      </c>
      <c r="D355" s="134" t="s">
        <v>525</v>
      </c>
      <c r="E355" s="131" t="s">
        <v>527</v>
      </c>
    </row>
    <row r="356" spans="1:5" x14ac:dyDescent="0.25">
      <c r="A356" s="131" t="s">
        <v>725</v>
      </c>
      <c r="B356" s="102" t="s">
        <v>129</v>
      </c>
      <c r="C356" s="102" t="s">
        <v>130</v>
      </c>
      <c r="D356" s="134" t="s">
        <v>509</v>
      </c>
      <c r="E356" s="131" t="s">
        <v>510</v>
      </c>
    </row>
    <row r="357" spans="1:5" x14ac:dyDescent="0.25">
      <c r="A357" s="131" t="s">
        <v>726</v>
      </c>
      <c r="B357" s="102" t="s">
        <v>497</v>
      </c>
      <c r="C357" s="102" t="s">
        <v>130</v>
      </c>
      <c r="D357" s="134" t="s">
        <v>496</v>
      </c>
      <c r="E357" s="131" t="s">
        <v>498</v>
      </c>
    </row>
    <row r="358" spans="1:5" x14ac:dyDescent="0.25">
      <c r="A358" s="131" t="s">
        <v>727</v>
      </c>
      <c r="B358" s="102" t="s">
        <v>538</v>
      </c>
      <c r="C358" s="102" t="s">
        <v>132</v>
      </c>
      <c r="D358" s="134" t="s">
        <v>546</v>
      </c>
      <c r="E358" s="131" t="s">
        <v>547</v>
      </c>
    </row>
    <row r="359" spans="1:5" x14ac:dyDescent="0.25">
      <c r="A359" s="131" t="s">
        <v>1210</v>
      </c>
      <c r="B359" s="102" t="s">
        <v>131</v>
      </c>
      <c r="C359" s="102" t="s">
        <v>132</v>
      </c>
      <c r="D359" s="134" t="s">
        <v>533</v>
      </c>
      <c r="E359" s="131" t="s">
        <v>1211</v>
      </c>
    </row>
    <row r="360" spans="1:5" x14ac:dyDescent="0.25">
      <c r="A360" s="131" t="s">
        <v>1212</v>
      </c>
      <c r="B360" s="102" t="s">
        <v>131</v>
      </c>
      <c r="C360" s="102" t="s">
        <v>132</v>
      </c>
      <c r="D360" s="134" t="s">
        <v>531</v>
      </c>
      <c r="E360" s="131" t="s">
        <v>1038</v>
      </c>
    </row>
    <row r="361" spans="1:5" x14ac:dyDescent="0.25">
      <c r="A361" s="131" t="s">
        <v>1039</v>
      </c>
      <c r="B361" s="102" t="s">
        <v>131</v>
      </c>
      <c r="C361" s="102" t="s">
        <v>132</v>
      </c>
      <c r="D361" s="134" t="s">
        <v>532</v>
      </c>
      <c r="E361" s="131" t="s">
        <v>1040</v>
      </c>
    </row>
    <row r="362" spans="1:5" x14ac:dyDescent="0.25">
      <c r="A362" s="131" t="s">
        <v>728</v>
      </c>
      <c r="B362" s="102" t="s">
        <v>554</v>
      </c>
      <c r="C362" s="102" t="s">
        <v>132</v>
      </c>
      <c r="D362" s="134" t="s">
        <v>553</v>
      </c>
      <c r="E362" s="131" t="s">
        <v>555</v>
      </c>
    </row>
    <row r="363" spans="1:5" x14ac:dyDescent="0.25">
      <c r="A363" s="131" t="s">
        <v>1041</v>
      </c>
      <c r="B363" s="102" t="s">
        <v>1042</v>
      </c>
      <c r="C363" s="102" t="s">
        <v>132</v>
      </c>
      <c r="D363" s="134" t="s">
        <v>534</v>
      </c>
      <c r="E363" s="131" t="s">
        <v>1043</v>
      </c>
    </row>
    <row r="364" spans="1:5" x14ac:dyDescent="0.25">
      <c r="A364" s="131" t="s">
        <v>729</v>
      </c>
      <c r="B364" s="102" t="s">
        <v>541</v>
      </c>
      <c r="C364" s="102" t="s">
        <v>132</v>
      </c>
      <c r="D364" s="134" t="s">
        <v>540</v>
      </c>
      <c r="E364" s="131" t="s">
        <v>542</v>
      </c>
    </row>
    <row r="365" spans="1:5" x14ac:dyDescent="0.25">
      <c r="A365" s="131" t="s">
        <v>1213</v>
      </c>
      <c r="B365" s="102" t="s">
        <v>1214</v>
      </c>
      <c r="C365" s="102" t="s">
        <v>132</v>
      </c>
      <c r="D365" s="134" t="s">
        <v>543</v>
      </c>
      <c r="E365" s="131" t="s">
        <v>1215</v>
      </c>
    </row>
    <row r="366" spans="1:5" x14ac:dyDescent="0.25">
      <c r="A366" s="131" t="s">
        <v>730</v>
      </c>
      <c r="B366" s="102" t="s">
        <v>538</v>
      </c>
      <c r="C366" s="102" t="s">
        <v>132</v>
      </c>
      <c r="D366" s="134" t="s">
        <v>537</v>
      </c>
      <c r="E366" s="131" t="s">
        <v>539</v>
      </c>
    </row>
    <row r="367" spans="1:5" x14ac:dyDescent="0.25">
      <c r="A367" s="131" t="s">
        <v>731</v>
      </c>
      <c r="B367" s="102" t="s">
        <v>529</v>
      </c>
      <c r="C367" s="102" t="s">
        <v>132</v>
      </c>
      <c r="D367" s="134" t="s">
        <v>528</v>
      </c>
      <c r="E367" s="131" t="s">
        <v>530</v>
      </c>
    </row>
    <row r="368" spans="1:5" x14ac:dyDescent="0.25">
      <c r="A368" s="131" t="s">
        <v>1044</v>
      </c>
      <c r="B368" s="102" t="s">
        <v>1042</v>
      </c>
      <c r="C368" s="102" t="s">
        <v>132</v>
      </c>
      <c r="D368" s="134" t="s">
        <v>534</v>
      </c>
      <c r="E368" s="131" t="s">
        <v>1045</v>
      </c>
    </row>
    <row r="369" spans="1:5" x14ac:dyDescent="0.25">
      <c r="A369" s="131" t="s">
        <v>1216</v>
      </c>
      <c r="B369" s="102" t="s">
        <v>549</v>
      </c>
      <c r="C369" s="102" t="s">
        <v>132</v>
      </c>
      <c r="D369" s="134" t="s">
        <v>548</v>
      </c>
      <c r="E369" s="131" t="s">
        <v>1217</v>
      </c>
    </row>
    <row r="370" spans="1:5" x14ac:dyDescent="0.25">
      <c r="A370" s="131" t="s">
        <v>732</v>
      </c>
      <c r="B370" s="102" t="s">
        <v>535</v>
      </c>
      <c r="C370" s="102" t="s">
        <v>132</v>
      </c>
      <c r="D370" s="134" t="s">
        <v>534</v>
      </c>
      <c r="E370" s="131" t="s">
        <v>536</v>
      </c>
    </row>
    <row r="371" spans="1:5" x14ac:dyDescent="0.25">
      <c r="A371" s="131" t="s">
        <v>733</v>
      </c>
      <c r="B371" s="102" t="s">
        <v>131</v>
      </c>
      <c r="C371" s="102" t="s">
        <v>132</v>
      </c>
      <c r="D371" s="134" t="s">
        <v>544</v>
      </c>
      <c r="E371" s="131" t="s">
        <v>545</v>
      </c>
    </row>
    <row r="372" spans="1:5" x14ac:dyDescent="0.25">
      <c r="A372" s="131" t="s">
        <v>734</v>
      </c>
      <c r="B372" s="102" t="s">
        <v>551</v>
      </c>
      <c r="C372" s="102" t="s">
        <v>132</v>
      </c>
      <c r="D372" s="134" t="s">
        <v>550</v>
      </c>
      <c r="E372" s="131" t="s">
        <v>552</v>
      </c>
    </row>
    <row r="373" spans="1:5" x14ac:dyDescent="0.25">
      <c r="A373" s="131" t="s">
        <v>735</v>
      </c>
      <c r="B373" s="102" t="s">
        <v>583</v>
      </c>
      <c r="C373" s="102" t="s">
        <v>134</v>
      </c>
      <c r="D373" s="134" t="s">
        <v>582</v>
      </c>
      <c r="E373" s="131" t="s">
        <v>584</v>
      </c>
    </row>
    <row r="374" spans="1:5" x14ac:dyDescent="0.25">
      <c r="A374" s="131" t="s">
        <v>1218</v>
      </c>
      <c r="B374" s="102" t="s">
        <v>578</v>
      </c>
      <c r="C374" s="102" t="s">
        <v>134</v>
      </c>
      <c r="D374" s="134" t="s">
        <v>577</v>
      </c>
      <c r="E374" s="131" t="s">
        <v>1219</v>
      </c>
    </row>
    <row r="375" spans="1:5" x14ac:dyDescent="0.25">
      <c r="A375" s="131" t="s">
        <v>1220</v>
      </c>
      <c r="B375" s="102" t="s">
        <v>133</v>
      </c>
      <c r="C375" s="102" t="s">
        <v>134</v>
      </c>
      <c r="D375" s="134" t="s">
        <v>563</v>
      </c>
      <c r="E375" s="131" t="s">
        <v>1221</v>
      </c>
    </row>
    <row r="376" spans="1:5" x14ac:dyDescent="0.25">
      <c r="A376" s="131" t="s">
        <v>1046</v>
      </c>
      <c r="B376" s="102" t="s">
        <v>133</v>
      </c>
      <c r="C376" s="102" t="s">
        <v>134</v>
      </c>
      <c r="D376" s="134" t="s">
        <v>566</v>
      </c>
      <c r="E376" s="131" t="s">
        <v>1047</v>
      </c>
    </row>
    <row r="377" spans="1:5" x14ac:dyDescent="0.25">
      <c r="A377" s="131" t="s">
        <v>736</v>
      </c>
      <c r="B377" s="102" t="s">
        <v>133</v>
      </c>
      <c r="C377" s="102" t="s">
        <v>134</v>
      </c>
      <c r="D377" s="134" t="s">
        <v>564</v>
      </c>
      <c r="E377" s="131" t="s">
        <v>565</v>
      </c>
    </row>
    <row r="378" spans="1:5" x14ac:dyDescent="0.25">
      <c r="A378" s="131" t="s">
        <v>1048</v>
      </c>
      <c r="B378" s="102" t="s">
        <v>575</v>
      </c>
      <c r="C378" s="102" t="s">
        <v>134</v>
      </c>
      <c r="D378" s="134" t="s">
        <v>576</v>
      </c>
      <c r="E378" s="131" t="s">
        <v>1049</v>
      </c>
    </row>
    <row r="379" spans="1:5" x14ac:dyDescent="0.25">
      <c r="A379" s="131" t="s">
        <v>1222</v>
      </c>
      <c r="B379" s="102" t="s">
        <v>568</v>
      </c>
      <c r="C379" s="102" t="s">
        <v>134</v>
      </c>
      <c r="D379" s="134" t="s">
        <v>567</v>
      </c>
      <c r="E379" s="131" t="s">
        <v>1223</v>
      </c>
    </row>
    <row r="380" spans="1:5" x14ac:dyDescent="0.25">
      <c r="A380" s="131" t="s">
        <v>1050</v>
      </c>
      <c r="B380" s="102" t="s">
        <v>559</v>
      </c>
      <c r="C380" s="102" t="s">
        <v>134</v>
      </c>
      <c r="D380" s="134" t="s">
        <v>558</v>
      </c>
      <c r="E380" s="131" t="s">
        <v>1051</v>
      </c>
    </row>
    <row r="381" spans="1:5" x14ac:dyDescent="0.25">
      <c r="A381" s="131" t="s">
        <v>1224</v>
      </c>
      <c r="B381" s="102" t="s">
        <v>578</v>
      </c>
      <c r="C381" s="102" t="s">
        <v>134</v>
      </c>
      <c r="D381" s="134" t="s">
        <v>581</v>
      </c>
      <c r="E381" s="131" t="s">
        <v>1225</v>
      </c>
    </row>
    <row r="382" spans="1:5" x14ac:dyDescent="0.25">
      <c r="A382" s="131" t="s">
        <v>1226</v>
      </c>
      <c r="B382" s="102" t="s">
        <v>133</v>
      </c>
      <c r="C382" s="102" t="s">
        <v>134</v>
      </c>
      <c r="D382" s="134">
        <v>80430</v>
      </c>
      <c r="E382" s="131" t="s">
        <v>1052</v>
      </c>
    </row>
    <row r="383" spans="1:5" x14ac:dyDescent="0.25">
      <c r="A383" s="131" t="s">
        <v>737</v>
      </c>
      <c r="B383" s="102" t="s">
        <v>561</v>
      </c>
      <c r="C383" s="102" t="s">
        <v>134</v>
      </c>
      <c r="D383" s="134" t="s">
        <v>560</v>
      </c>
      <c r="E383" s="131" t="s">
        <v>562</v>
      </c>
    </row>
    <row r="384" spans="1:5" x14ac:dyDescent="0.25">
      <c r="A384" s="131" t="s">
        <v>1053</v>
      </c>
      <c r="B384" s="102" t="s">
        <v>578</v>
      </c>
      <c r="C384" s="102" t="s">
        <v>134</v>
      </c>
      <c r="D384" s="134" t="s">
        <v>579</v>
      </c>
      <c r="E384" s="131" t="s">
        <v>1054</v>
      </c>
    </row>
    <row r="385" spans="1:5" x14ac:dyDescent="0.25">
      <c r="A385" s="131" t="s">
        <v>1055</v>
      </c>
      <c r="B385" s="102" t="s">
        <v>578</v>
      </c>
      <c r="C385" s="102" t="s">
        <v>134</v>
      </c>
      <c r="D385" s="134" t="s">
        <v>580</v>
      </c>
      <c r="E385" s="131" t="s">
        <v>1056</v>
      </c>
    </row>
    <row r="386" spans="1:5" x14ac:dyDescent="0.25">
      <c r="A386" s="131" t="s">
        <v>738</v>
      </c>
      <c r="B386" s="102" t="s">
        <v>133</v>
      </c>
      <c r="C386" s="102" t="s">
        <v>134</v>
      </c>
      <c r="D386" s="134">
        <v>80313</v>
      </c>
      <c r="E386" s="131" t="s">
        <v>585</v>
      </c>
    </row>
    <row r="387" spans="1:5" x14ac:dyDescent="0.25">
      <c r="A387" s="131" t="s">
        <v>1057</v>
      </c>
      <c r="B387" s="102" t="s">
        <v>575</v>
      </c>
      <c r="C387" s="102" t="s">
        <v>134</v>
      </c>
      <c r="D387" s="134" t="s">
        <v>574</v>
      </c>
      <c r="E387" s="131" t="s">
        <v>1058</v>
      </c>
    </row>
    <row r="388" spans="1:5" x14ac:dyDescent="0.25">
      <c r="A388" s="131" t="s">
        <v>1059</v>
      </c>
      <c r="B388" s="102" t="s">
        <v>570</v>
      </c>
      <c r="C388" s="102" t="s">
        <v>134</v>
      </c>
      <c r="D388" s="134" t="s">
        <v>569</v>
      </c>
      <c r="E388" s="131" t="s">
        <v>1060</v>
      </c>
    </row>
    <row r="389" spans="1:5" x14ac:dyDescent="0.25">
      <c r="A389" s="131" t="s">
        <v>1061</v>
      </c>
      <c r="B389" s="102" t="s">
        <v>573</v>
      </c>
      <c r="C389" s="102" t="s">
        <v>134</v>
      </c>
      <c r="D389" s="134" t="s">
        <v>572</v>
      </c>
      <c r="E389" s="131" t="s">
        <v>1062</v>
      </c>
    </row>
    <row r="390" spans="1:5" x14ac:dyDescent="0.25">
      <c r="A390" s="131" t="s">
        <v>1063</v>
      </c>
      <c r="B390" s="102" t="s">
        <v>557</v>
      </c>
      <c r="C390" s="102" t="s">
        <v>134</v>
      </c>
      <c r="D390" s="134" t="s">
        <v>556</v>
      </c>
      <c r="E390" s="131" t="s">
        <v>1064</v>
      </c>
    </row>
    <row r="391" spans="1:5" x14ac:dyDescent="0.25">
      <c r="A391" s="131" t="s">
        <v>739</v>
      </c>
      <c r="B391" s="102" t="s">
        <v>570</v>
      </c>
      <c r="C391" s="102" t="s">
        <v>134</v>
      </c>
      <c r="D391" s="134" t="s">
        <v>569</v>
      </c>
      <c r="E391" s="131" t="s">
        <v>571</v>
      </c>
    </row>
    <row r="392" spans="1:5" x14ac:dyDescent="0.25">
      <c r="A392" s="131" t="s">
        <v>1065</v>
      </c>
      <c r="B392" s="102" t="s">
        <v>135</v>
      </c>
      <c r="C392" s="102" t="s">
        <v>135</v>
      </c>
      <c r="D392" s="134" t="s">
        <v>590</v>
      </c>
      <c r="E392" s="131" t="s">
        <v>1066</v>
      </c>
    </row>
    <row r="393" spans="1:5" x14ac:dyDescent="0.25">
      <c r="A393" s="131" t="s">
        <v>1067</v>
      </c>
      <c r="B393" s="102" t="s">
        <v>587</v>
      </c>
      <c r="C393" s="102" t="s">
        <v>135</v>
      </c>
      <c r="D393" s="134" t="s">
        <v>586</v>
      </c>
      <c r="E393" s="131" t="s">
        <v>1068</v>
      </c>
    </row>
    <row r="394" spans="1:5" x14ac:dyDescent="0.25">
      <c r="A394" s="131" t="s">
        <v>1069</v>
      </c>
      <c r="B394" s="102" t="s">
        <v>589</v>
      </c>
      <c r="C394" s="102" t="s">
        <v>135</v>
      </c>
      <c r="D394" s="134" t="s">
        <v>588</v>
      </c>
      <c r="E394" s="131" t="s">
        <v>1070</v>
      </c>
    </row>
    <row r="395" spans="1:5" x14ac:dyDescent="0.25">
      <c r="A395" s="131" t="s">
        <v>1071</v>
      </c>
      <c r="B395" s="102" t="s">
        <v>600</v>
      </c>
      <c r="C395" s="102" t="s">
        <v>135</v>
      </c>
      <c r="D395" s="134" t="s">
        <v>599</v>
      </c>
      <c r="E395" s="131" t="s">
        <v>1072</v>
      </c>
    </row>
    <row r="396" spans="1:5" x14ac:dyDescent="0.25">
      <c r="A396" s="131" t="s">
        <v>1073</v>
      </c>
      <c r="B396" s="102" t="s">
        <v>602</v>
      </c>
      <c r="C396" s="102" t="s">
        <v>135</v>
      </c>
      <c r="D396" s="134" t="s">
        <v>601</v>
      </c>
      <c r="E396" s="131" t="s">
        <v>1074</v>
      </c>
    </row>
    <row r="397" spans="1:5" x14ac:dyDescent="0.25">
      <c r="A397" s="131" t="s">
        <v>1075</v>
      </c>
      <c r="B397" s="102" t="s">
        <v>594</v>
      </c>
      <c r="C397" s="102" t="s">
        <v>135</v>
      </c>
      <c r="D397" s="134" t="s">
        <v>593</v>
      </c>
      <c r="E397" s="131" t="s">
        <v>1076</v>
      </c>
    </row>
    <row r="398" spans="1:5" x14ac:dyDescent="0.25">
      <c r="A398" s="131" t="s">
        <v>1077</v>
      </c>
      <c r="B398" s="102" t="s">
        <v>594</v>
      </c>
      <c r="C398" s="102" t="s">
        <v>135</v>
      </c>
      <c r="D398" s="134" t="s">
        <v>593</v>
      </c>
      <c r="E398" s="131" t="s">
        <v>1078</v>
      </c>
    </row>
    <row r="399" spans="1:5" x14ac:dyDescent="0.25">
      <c r="A399" s="131" t="s">
        <v>1079</v>
      </c>
      <c r="B399" s="102" t="s">
        <v>135</v>
      </c>
      <c r="C399" s="102" t="s">
        <v>135</v>
      </c>
      <c r="D399" s="134" t="s">
        <v>590</v>
      </c>
      <c r="E399" s="131" t="s">
        <v>1080</v>
      </c>
    </row>
    <row r="400" spans="1:5" x14ac:dyDescent="0.25">
      <c r="A400" s="131" t="s">
        <v>1081</v>
      </c>
      <c r="B400" s="102" t="s">
        <v>598</v>
      </c>
      <c r="C400" s="102" t="s">
        <v>135</v>
      </c>
      <c r="D400" s="134" t="s">
        <v>597</v>
      </c>
      <c r="E400" s="131" t="s">
        <v>1082</v>
      </c>
    </row>
    <row r="401" spans="1:5" x14ac:dyDescent="0.25">
      <c r="A401" s="131" t="s">
        <v>1227</v>
      </c>
      <c r="B401" s="102" t="s">
        <v>135</v>
      </c>
      <c r="C401" s="102" t="s">
        <v>135</v>
      </c>
      <c r="D401" s="134" t="s">
        <v>592</v>
      </c>
      <c r="E401" s="131" t="s">
        <v>1228</v>
      </c>
    </row>
    <row r="402" spans="1:5" x14ac:dyDescent="0.25">
      <c r="A402" s="131" t="s">
        <v>1083</v>
      </c>
      <c r="B402" s="102" t="s">
        <v>135</v>
      </c>
      <c r="C402" s="102" t="s">
        <v>135</v>
      </c>
      <c r="D402" s="134" t="s">
        <v>591</v>
      </c>
      <c r="E402" s="131" t="s">
        <v>1084</v>
      </c>
    </row>
    <row r="403" spans="1:5" x14ac:dyDescent="0.25">
      <c r="A403" s="131" t="s">
        <v>1085</v>
      </c>
      <c r="B403" s="102" t="s">
        <v>596</v>
      </c>
      <c r="C403" s="102" t="s">
        <v>135</v>
      </c>
      <c r="D403" s="134" t="s">
        <v>595</v>
      </c>
      <c r="E403" s="131" t="s">
        <v>1086</v>
      </c>
    </row>
    <row r="404" spans="1:5" x14ac:dyDescent="0.25">
      <c r="A404" s="131" t="s">
        <v>1229</v>
      </c>
      <c r="B404" s="102" t="s">
        <v>1230</v>
      </c>
      <c r="C404" s="102" t="s">
        <v>132</v>
      </c>
      <c r="D404" s="134" t="s">
        <v>615</v>
      </c>
      <c r="E404" s="131" t="s">
        <v>1231</v>
      </c>
    </row>
    <row r="405" spans="1:5" x14ac:dyDescent="0.25">
      <c r="A405" s="131" t="s">
        <v>740</v>
      </c>
      <c r="B405" s="102" t="s">
        <v>604</v>
      </c>
      <c r="C405" s="102" t="s">
        <v>137</v>
      </c>
      <c r="D405" s="134" t="s">
        <v>619</v>
      </c>
      <c r="E405" s="131" t="s">
        <v>620</v>
      </c>
    </row>
    <row r="406" spans="1:5" x14ac:dyDescent="0.25">
      <c r="A406" s="131" t="s">
        <v>1087</v>
      </c>
      <c r="B406" s="102" t="s">
        <v>136</v>
      </c>
      <c r="C406" s="102" t="s">
        <v>137</v>
      </c>
      <c r="D406" s="134" t="s">
        <v>605</v>
      </c>
      <c r="E406" s="131" t="s">
        <v>1088</v>
      </c>
    </row>
    <row r="407" spans="1:5" x14ac:dyDescent="0.25">
      <c r="A407" s="131" t="s">
        <v>741</v>
      </c>
      <c r="B407" s="102" t="s">
        <v>608</v>
      </c>
      <c r="C407" s="102" t="s">
        <v>137</v>
      </c>
      <c r="D407" s="134" t="s">
        <v>607</v>
      </c>
      <c r="E407" s="131" t="s">
        <v>609</v>
      </c>
    </row>
    <row r="408" spans="1:5" x14ac:dyDescent="0.25">
      <c r="A408" s="131" t="s">
        <v>1089</v>
      </c>
      <c r="B408" s="102" t="s">
        <v>669</v>
      </c>
      <c r="C408" s="102" t="s">
        <v>137</v>
      </c>
      <c r="D408" s="134" t="s">
        <v>606</v>
      </c>
      <c r="E408" s="131" t="s">
        <v>1090</v>
      </c>
    </row>
    <row r="409" spans="1:5" x14ac:dyDescent="0.25">
      <c r="A409" s="131" t="s">
        <v>1091</v>
      </c>
      <c r="B409" s="102" t="s">
        <v>136</v>
      </c>
      <c r="C409" s="102" t="s">
        <v>137</v>
      </c>
      <c r="D409" s="134" t="s">
        <v>614</v>
      </c>
      <c r="E409" s="131" t="s">
        <v>1092</v>
      </c>
    </row>
    <row r="410" spans="1:5" x14ac:dyDescent="0.25">
      <c r="A410" s="131" t="s">
        <v>1093</v>
      </c>
      <c r="B410" s="102" t="s">
        <v>604</v>
      </c>
      <c r="C410" s="102" t="s">
        <v>137</v>
      </c>
      <c r="D410" s="134" t="s">
        <v>603</v>
      </c>
      <c r="E410" s="131" t="s">
        <v>1094</v>
      </c>
    </row>
    <row r="411" spans="1:5" x14ac:dyDescent="0.25">
      <c r="A411" s="131" t="s">
        <v>1095</v>
      </c>
      <c r="B411" s="102" t="s">
        <v>611</v>
      </c>
      <c r="C411" s="102" t="s">
        <v>137</v>
      </c>
      <c r="D411" s="134" t="s">
        <v>610</v>
      </c>
      <c r="E411" s="131" t="s">
        <v>1096</v>
      </c>
    </row>
    <row r="412" spans="1:5" x14ac:dyDescent="0.25">
      <c r="A412" s="131" t="s">
        <v>1097</v>
      </c>
      <c r="B412" s="102" t="s">
        <v>136</v>
      </c>
      <c r="C412" s="102" t="s">
        <v>137</v>
      </c>
      <c r="D412" s="134" t="s">
        <v>616</v>
      </c>
      <c r="E412" s="131" t="s">
        <v>1098</v>
      </c>
    </row>
    <row r="413" spans="1:5" x14ac:dyDescent="0.25">
      <c r="A413" s="131" t="s">
        <v>1099</v>
      </c>
      <c r="B413" s="102" t="s">
        <v>136</v>
      </c>
      <c r="C413" s="102" t="s">
        <v>137</v>
      </c>
      <c r="D413" s="134" t="s">
        <v>616</v>
      </c>
      <c r="E413" s="131" t="s">
        <v>1100</v>
      </c>
    </row>
    <row r="414" spans="1:5" x14ac:dyDescent="0.25">
      <c r="A414" s="131" t="s">
        <v>1232</v>
      </c>
      <c r="B414" s="102" t="s">
        <v>618</v>
      </c>
      <c r="C414" s="102" t="s">
        <v>137</v>
      </c>
      <c r="D414" s="134" t="s">
        <v>617</v>
      </c>
      <c r="E414" s="131" t="s">
        <v>1233</v>
      </c>
    </row>
    <row r="415" spans="1:5" x14ac:dyDescent="0.25">
      <c r="A415" s="131" t="s">
        <v>1101</v>
      </c>
      <c r="B415" s="102" t="s">
        <v>613</v>
      </c>
      <c r="C415" s="102" t="s">
        <v>137</v>
      </c>
      <c r="D415" s="134" t="s">
        <v>612</v>
      </c>
      <c r="E415" s="131" t="s">
        <v>1102</v>
      </c>
    </row>
    <row r="416" spans="1:5" x14ac:dyDescent="0.25">
      <c r="A416" s="131" t="s">
        <v>1103</v>
      </c>
      <c r="B416" s="102" t="s">
        <v>138</v>
      </c>
      <c r="C416" s="102" t="s">
        <v>139</v>
      </c>
      <c r="D416" s="134" t="s">
        <v>622</v>
      </c>
      <c r="E416" s="131" t="s">
        <v>1104</v>
      </c>
    </row>
    <row r="417" spans="1:5" x14ac:dyDescent="0.25">
      <c r="A417" s="131" t="s">
        <v>742</v>
      </c>
      <c r="B417" s="102" t="s">
        <v>637</v>
      </c>
      <c r="C417" s="102" t="s">
        <v>139</v>
      </c>
      <c r="D417" s="134" t="s">
        <v>636</v>
      </c>
      <c r="E417" s="131" t="s">
        <v>638</v>
      </c>
    </row>
    <row r="418" spans="1:5" x14ac:dyDescent="0.25">
      <c r="A418" s="131" t="s">
        <v>1234</v>
      </c>
      <c r="B418" s="102" t="s">
        <v>138</v>
      </c>
      <c r="C418" s="102" t="s">
        <v>139</v>
      </c>
      <c r="D418" s="134" t="s">
        <v>621</v>
      </c>
      <c r="E418" s="131" t="s">
        <v>1235</v>
      </c>
    </row>
    <row r="419" spans="1:5" x14ac:dyDescent="0.25">
      <c r="A419" s="131" t="s">
        <v>1105</v>
      </c>
      <c r="B419" s="102" t="s">
        <v>624</v>
      </c>
      <c r="C419" s="102" t="s">
        <v>139</v>
      </c>
      <c r="D419" s="134" t="s">
        <v>623</v>
      </c>
      <c r="E419" s="131" t="s">
        <v>1106</v>
      </c>
    </row>
    <row r="420" spans="1:5" x14ac:dyDescent="0.25">
      <c r="A420" s="131" t="s">
        <v>743</v>
      </c>
      <c r="B420" s="102" t="s">
        <v>634</v>
      </c>
      <c r="C420" s="102" t="s">
        <v>139</v>
      </c>
      <c r="D420" s="134" t="s">
        <v>633</v>
      </c>
      <c r="E420" s="131" t="s">
        <v>635</v>
      </c>
    </row>
    <row r="421" spans="1:5" x14ac:dyDescent="0.25">
      <c r="A421" s="131" t="s">
        <v>744</v>
      </c>
      <c r="B421" s="102" t="s">
        <v>626</v>
      </c>
      <c r="C421" s="102" t="s">
        <v>139</v>
      </c>
      <c r="D421" s="134" t="s">
        <v>625</v>
      </c>
      <c r="E421" s="131" t="s">
        <v>627</v>
      </c>
    </row>
    <row r="422" spans="1:5" x14ac:dyDescent="0.25">
      <c r="A422" s="131" t="s">
        <v>745</v>
      </c>
      <c r="B422" s="102" t="s">
        <v>629</v>
      </c>
      <c r="C422" s="102" t="s">
        <v>139</v>
      </c>
      <c r="D422" s="134" t="s">
        <v>628</v>
      </c>
      <c r="E422" s="131" t="s">
        <v>630</v>
      </c>
    </row>
    <row r="423" spans="1:5" x14ac:dyDescent="0.25">
      <c r="A423" s="131" t="s">
        <v>746</v>
      </c>
      <c r="B423" s="102" t="s">
        <v>138</v>
      </c>
      <c r="C423" s="102" t="s">
        <v>139</v>
      </c>
      <c r="D423" s="134" t="s">
        <v>631</v>
      </c>
      <c r="E423" s="131" t="s">
        <v>632</v>
      </c>
    </row>
    <row r="424" spans="1:5" x14ac:dyDescent="0.25">
      <c r="A424" s="131" t="s">
        <v>1107</v>
      </c>
      <c r="B424" s="102" t="s">
        <v>140</v>
      </c>
      <c r="C424" s="102" t="s">
        <v>141</v>
      </c>
      <c r="D424" s="134" t="s">
        <v>639</v>
      </c>
      <c r="E424" s="131" t="s">
        <v>1108</v>
      </c>
    </row>
    <row r="425" spans="1:5" x14ac:dyDescent="0.25">
      <c r="A425" s="131" t="s">
        <v>1109</v>
      </c>
      <c r="B425" s="102" t="s">
        <v>1110</v>
      </c>
      <c r="C425" s="102" t="s">
        <v>128</v>
      </c>
      <c r="D425" s="134" t="s">
        <v>650</v>
      </c>
      <c r="E425" s="131" t="s">
        <v>1111</v>
      </c>
    </row>
    <row r="426" spans="1:5" x14ac:dyDescent="0.25">
      <c r="A426" s="131" t="s">
        <v>1112</v>
      </c>
      <c r="B426" s="102" t="s">
        <v>812</v>
      </c>
      <c r="C426" s="102" t="s">
        <v>100</v>
      </c>
      <c r="D426" s="134" t="s">
        <v>211</v>
      </c>
      <c r="E426" s="131" t="s">
        <v>1113</v>
      </c>
    </row>
    <row r="427" spans="1:5" x14ac:dyDescent="0.25">
      <c r="A427" s="131" t="s">
        <v>1114</v>
      </c>
      <c r="B427" s="102" t="s">
        <v>1115</v>
      </c>
      <c r="C427" s="102" t="s">
        <v>141</v>
      </c>
      <c r="D427" s="134" t="s">
        <v>646</v>
      </c>
      <c r="E427" s="131" t="s">
        <v>1116</v>
      </c>
    </row>
    <row r="428" spans="1:5" x14ac:dyDescent="0.25">
      <c r="A428" s="131" t="s">
        <v>1117</v>
      </c>
      <c r="B428" s="102" t="s">
        <v>1118</v>
      </c>
      <c r="C428" s="102" t="s">
        <v>128</v>
      </c>
      <c r="D428" s="134" t="s">
        <v>651</v>
      </c>
      <c r="E428" s="131" t="s">
        <v>1119</v>
      </c>
    </row>
    <row r="429" spans="1:5" x14ac:dyDescent="0.25">
      <c r="A429" s="131" t="s">
        <v>1236</v>
      </c>
      <c r="B429" s="102" t="s">
        <v>654</v>
      </c>
      <c r="C429" s="102" t="s">
        <v>141</v>
      </c>
      <c r="D429" s="134" t="s">
        <v>653</v>
      </c>
      <c r="E429" s="131" t="s">
        <v>1237</v>
      </c>
    </row>
    <row r="430" spans="1:5" x14ac:dyDescent="0.25">
      <c r="A430" s="131" t="s">
        <v>1120</v>
      </c>
      <c r="B430" s="102" t="s">
        <v>786</v>
      </c>
      <c r="C430" s="102" t="s">
        <v>100</v>
      </c>
      <c r="D430" s="134" t="s">
        <v>647</v>
      </c>
      <c r="E430" s="131" t="s">
        <v>1121</v>
      </c>
    </row>
    <row r="431" spans="1:5" x14ac:dyDescent="0.25">
      <c r="A431" s="131" t="s">
        <v>1122</v>
      </c>
      <c r="B431" s="102" t="s">
        <v>642</v>
      </c>
      <c r="C431" s="102" t="s">
        <v>141</v>
      </c>
      <c r="D431" s="134" t="s">
        <v>641</v>
      </c>
      <c r="E431" s="131" t="s">
        <v>1123</v>
      </c>
    </row>
    <row r="432" spans="1:5" x14ac:dyDescent="0.25">
      <c r="A432" s="131" t="s">
        <v>1124</v>
      </c>
      <c r="B432" s="102" t="s">
        <v>1125</v>
      </c>
      <c r="C432" s="102" t="s">
        <v>128</v>
      </c>
      <c r="D432" s="134" t="s">
        <v>640</v>
      </c>
      <c r="E432" s="131" t="s">
        <v>1126</v>
      </c>
    </row>
    <row r="433" spans="1:5" x14ac:dyDescent="0.25">
      <c r="A433" s="131" t="s">
        <v>1127</v>
      </c>
      <c r="B433" s="102" t="s">
        <v>645</v>
      </c>
      <c r="C433" s="102" t="s">
        <v>141</v>
      </c>
      <c r="D433" s="134" t="s">
        <v>644</v>
      </c>
      <c r="E433" s="131" t="s">
        <v>1128</v>
      </c>
    </row>
    <row r="434" spans="1:5" x14ac:dyDescent="0.25">
      <c r="A434" s="131" t="s">
        <v>1129</v>
      </c>
      <c r="B434" s="102" t="s">
        <v>1130</v>
      </c>
      <c r="C434" s="102" t="s">
        <v>128</v>
      </c>
      <c r="D434" s="134" t="s">
        <v>652</v>
      </c>
      <c r="E434" s="131" t="s">
        <v>1131</v>
      </c>
    </row>
    <row r="435" spans="1:5" x14ac:dyDescent="0.25">
      <c r="A435" s="131" t="s">
        <v>1132</v>
      </c>
      <c r="B435" s="102" t="s">
        <v>382</v>
      </c>
      <c r="C435" s="102" t="s">
        <v>141</v>
      </c>
      <c r="D435" s="134" t="s">
        <v>643</v>
      </c>
      <c r="E435" s="131" t="s">
        <v>1133</v>
      </c>
    </row>
    <row r="436" spans="1:5" x14ac:dyDescent="0.25">
      <c r="A436" s="131" t="s">
        <v>1134</v>
      </c>
      <c r="B436" s="102" t="s">
        <v>1135</v>
      </c>
      <c r="C436" s="102" t="s">
        <v>128</v>
      </c>
      <c r="D436" s="134" t="s">
        <v>648</v>
      </c>
      <c r="E436" s="131" t="s">
        <v>1136</v>
      </c>
    </row>
    <row r="437" spans="1:5" x14ac:dyDescent="0.25">
      <c r="A437" s="131" t="s">
        <v>1137</v>
      </c>
      <c r="B437" s="102" t="s">
        <v>1138</v>
      </c>
      <c r="C437" s="102" t="s">
        <v>128</v>
      </c>
      <c r="D437" s="134" t="s">
        <v>649</v>
      </c>
      <c r="E437" s="131" t="s">
        <v>1139</v>
      </c>
    </row>
    <row r="445" spans="1:5" x14ac:dyDescent="0.25">
      <c r="A445" s="100"/>
      <c r="B445" s="102"/>
      <c r="C445" s="102"/>
      <c r="D445" s="101"/>
      <c r="E445" s="103"/>
    </row>
  </sheetData>
  <sortState ref="A141:E153">
    <sortCondition ref="A141:A153"/>
  </sortState>
  <mergeCells count="2">
    <mergeCell ref="G12:I12"/>
    <mergeCell ref="J12:L1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43"/>
  <sheetViews>
    <sheetView workbookViewId="0"/>
  </sheetViews>
  <sheetFormatPr defaultRowHeight="15" x14ac:dyDescent="0.25"/>
  <cols>
    <col min="1" max="1" width="156.7109375" customWidth="1"/>
    <col min="2" max="2" width="69.42578125" customWidth="1"/>
    <col min="3" max="3" width="58" customWidth="1"/>
    <col min="4" max="4" width="69.28515625" bestFit="1" customWidth="1"/>
    <col min="5" max="5" width="73.5703125" bestFit="1" customWidth="1"/>
    <col min="8" max="8" width="32.85546875" bestFit="1" customWidth="1"/>
  </cols>
  <sheetData>
    <row r="1" spans="1:1" x14ac:dyDescent="0.25">
      <c r="A1" t="s">
        <v>32</v>
      </c>
    </row>
    <row r="3" spans="1:1" x14ac:dyDescent="0.25">
      <c r="A3" t="s">
        <v>147</v>
      </c>
    </row>
    <row r="4" spans="1:1" x14ac:dyDescent="0.25">
      <c r="A4">
        <v>564498</v>
      </c>
    </row>
    <row r="7" spans="1:1" x14ac:dyDescent="0.25">
      <c r="A7" t="s">
        <v>144</v>
      </c>
    </row>
    <row r="8" spans="1:1" x14ac:dyDescent="0.25">
      <c r="A8" t="s">
        <v>1267</v>
      </c>
    </row>
    <row r="9" spans="1:1" x14ac:dyDescent="0.25">
      <c r="A9" t="s">
        <v>1268</v>
      </c>
    </row>
    <row r="12" spans="1:1" x14ac:dyDescent="0.25">
      <c r="A12" t="s">
        <v>160</v>
      </c>
    </row>
    <row r="13" spans="1:1" x14ac:dyDescent="0.25">
      <c r="A13" t="s">
        <v>1269</v>
      </c>
    </row>
    <row r="14" spans="1:1" x14ac:dyDescent="0.25">
      <c r="A14" t="s">
        <v>1270</v>
      </c>
    </row>
    <row r="17" spans="1:5" x14ac:dyDescent="0.25">
      <c r="A17" t="s">
        <v>159</v>
      </c>
    </row>
    <row r="18" spans="1:5" x14ac:dyDescent="0.25">
      <c r="A18" t="s">
        <v>1271</v>
      </c>
    </row>
    <row r="19" spans="1:5" x14ac:dyDescent="0.25">
      <c r="A19" t="s">
        <v>1272</v>
      </c>
      <c r="D19" s="11"/>
      <c r="E19" s="11"/>
    </row>
    <row r="22" spans="1:5" x14ac:dyDescent="0.25">
      <c r="A22" t="s">
        <v>157</v>
      </c>
    </row>
    <row r="23" spans="1:5" x14ac:dyDescent="0.25">
      <c r="A23" t="s">
        <v>670</v>
      </c>
    </row>
    <row r="24" spans="1:5" x14ac:dyDescent="0.25">
      <c r="A24" t="s">
        <v>1274</v>
      </c>
    </row>
    <row r="25" spans="1:5" x14ac:dyDescent="0.25">
      <c r="A25" t="s">
        <v>1275</v>
      </c>
    </row>
    <row r="26" spans="1:5" x14ac:dyDescent="0.25">
      <c r="A26" t="s">
        <v>1276</v>
      </c>
    </row>
    <row r="27" spans="1:5" x14ac:dyDescent="0.25">
      <c r="A27" t="s">
        <v>1277</v>
      </c>
    </row>
    <row r="28" spans="1:5" x14ac:dyDescent="0.25">
      <c r="A28" t="s">
        <v>1278</v>
      </c>
    </row>
    <row r="29" spans="1:5" x14ac:dyDescent="0.25">
      <c r="A29" t="s">
        <v>1279</v>
      </c>
    </row>
    <row r="30" spans="1:5" x14ac:dyDescent="0.25">
      <c r="A30" t="s">
        <v>1280</v>
      </c>
    </row>
    <row r="31" spans="1:5" x14ac:dyDescent="0.25">
      <c r="A31" t="s">
        <v>1281</v>
      </c>
    </row>
    <row r="34" spans="1:1" x14ac:dyDescent="0.25">
      <c r="A34" t="s">
        <v>35</v>
      </c>
    </row>
    <row r="35" spans="1:1" x14ac:dyDescent="0.25">
      <c r="A35">
        <v>45915</v>
      </c>
    </row>
    <row r="43" spans="1:1" x14ac:dyDescent="0.25">
      <c r="A43" t="s">
        <v>1282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3"/>
  <sheetViews>
    <sheetView workbookViewId="0"/>
  </sheetViews>
  <sheetFormatPr defaultRowHeight="15" x14ac:dyDescent="0.25"/>
  <cols>
    <col min="1" max="1" width="58" customWidth="1"/>
    <col min="2" max="2" width="69.28515625" bestFit="1" customWidth="1"/>
    <col min="3" max="3" width="73.5703125" bestFit="1" customWidth="1"/>
    <col min="6" max="6" width="32.85546875" bestFit="1" customWidth="1"/>
  </cols>
  <sheetData>
    <row r="1" spans="1:3" x14ac:dyDescent="0.25">
      <c r="B1" t="str">
        <f>abc!C5</f>
        <v>Seleccionar el tipo de movimiento.</v>
      </c>
      <c r="C1" t="str">
        <f>B1</f>
        <v>Seleccionar el tipo de movimiento.</v>
      </c>
    </row>
    <row r="2" spans="1:3" x14ac:dyDescent="0.25">
      <c r="A2" t="str">
        <f>abc!B16</f>
        <v/>
      </c>
      <c r="B2" t="str">
        <f>abc!C16</f>
        <v/>
      </c>
      <c r="C2" t="str">
        <f t="shared" ref="C2:C8" si="0">CONCATENATE(A2," ",B2)</f>
        <v xml:space="preserve"> </v>
      </c>
    </row>
    <row r="3" spans="1:3" x14ac:dyDescent="0.25">
      <c r="A3" t="str">
        <f>abc!B17</f>
        <v/>
      </c>
      <c r="B3" t="str">
        <f>abc!C17</f>
        <v/>
      </c>
      <c r="C3" t="str">
        <f t="shared" si="0"/>
        <v xml:space="preserve"> </v>
      </c>
    </row>
    <row r="4" spans="1:3" x14ac:dyDescent="0.25">
      <c r="A4" t="str">
        <f>abc!B18</f>
        <v/>
      </c>
      <c r="B4" t="str">
        <f>abc!C18</f>
        <v/>
      </c>
      <c r="C4" t="str">
        <f t="shared" si="0"/>
        <v xml:space="preserve"> </v>
      </c>
    </row>
    <row r="5" spans="1:3" x14ac:dyDescent="0.25">
      <c r="A5" t="str">
        <f>abc!B19</f>
        <v/>
      </c>
      <c r="B5" t="str">
        <f>abc!C19</f>
        <v/>
      </c>
      <c r="C5" t="str">
        <f t="shared" si="0"/>
        <v xml:space="preserve"> </v>
      </c>
    </row>
    <row r="6" spans="1:3" x14ac:dyDescent="0.25">
      <c r="A6" t="str">
        <f>abc!B20</f>
        <v/>
      </c>
      <c r="B6" t="str">
        <f>abc!C20</f>
        <v/>
      </c>
      <c r="C6" t="str">
        <f t="shared" si="0"/>
        <v xml:space="preserve"> </v>
      </c>
    </row>
    <row r="7" spans="1:3" x14ac:dyDescent="0.25">
      <c r="A7" t="str">
        <f>abc!B21</f>
        <v/>
      </c>
      <c r="B7" t="str">
        <f>abc!C21</f>
        <v/>
      </c>
      <c r="C7" t="str">
        <f t="shared" si="0"/>
        <v xml:space="preserve"> </v>
      </c>
    </row>
    <row r="8" spans="1:3" x14ac:dyDescent="0.25">
      <c r="A8" t="str">
        <f>abc!B22</f>
        <v/>
      </c>
      <c r="B8" t="str">
        <f>abc!C22</f>
        <v/>
      </c>
      <c r="C8" t="str">
        <f t="shared" si="0"/>
        <v xml:space="preserve"> </v>
      </c>
    </row>
    <row r="9" spans="1:3" x14ac:dyDescent="0.25">
      <c r="A9" t="str">
        <f>abc!B23</f>
        <v/>
      </c>
      <c r="B9" t="str">
        <f>abc!C23</f>
        <v/>
      </c>
      <c r="C9" t="str">
        <f>IF(A9=".","",CONCATENATE(A9," ",B9))</f>
        <v xml:space="preserve"> </v>
      </c>
    </row>
    <row r="10" spans="1:3" x14ac:dyDescent="0.25">
      <c r="A10" t="str">
        <f>abc!B24</f>
        <v/>
      </c>
      <c r="B10" t="str">
        <f>abc!C24</f>
        <v/>
      </c>
      <c r="C10" t="str">
        <f t="shared" ref="C10:C18" si="1">IF(A10=".","",CONCATENATE(A10," ",B10))</f>
        <v xml:space="preserve"> </v>
      </c>
    </row>
    <row r="11" spans="1:3" x14ac:dyDescent="0.25">
      <c r="A11" t="str">
        <f>abc!B25</f>
        <v/>
      </c>
      <c r="B11" t="str">
        <f>abc!C25</f>
        <v/>
      </c>
      <c r="C11" t="str">
        <f t="shared" si="1"/>
        <v xml:space="preserve"> </v>
      </c>
    </row>
    <row r="12" spans="1:3" x14ac:dyDescent="0.25">
      <c r="A12" t="str">
        <f>abc!B26</f>
        <v/>
      </c>
      <c r="B12" t="str">
        <f>abc!C26</f>
        <v/>
      </c>
      <c r="C12" t="str">
        <f t="shared" si="1"/>
        <v xml:space="preserve"> </v>
      </c>
    </row>
    <row r="13" spans="1:3" x14ac:dyDescent="0.25">
      <c r="A13" t="str">
        <f>abc!B27</f>
        <v/>
      </c>
      <c r="B13" t="str">
        <f>abc!C27</f>
        <v/>
      </c>
      <c r="C13" t="str">
        <f t="shared" si="1"/>
        <v xml:space="preserve"> </v>
      </c>
    </row>
    <row r="14" spans="1:3" x14ac:dyDescent="0.25">
      <c r="A14" t="str">
        <f>abc!B29</f>
        <v/>
      </c>
      <c r="B14" t="str">
        <f>TEXT(abc!C29,"DD/MM/AAAA")</f>
        <v/>
      </c>
      <c r="C14" t="str">
        <f t="shared" si="1"/>
        <v xml:space="preserve"> </v>
      </c>
    </row>
    <row r="15" spans="1:3" x14ac:dyDescent="0.25">
      <c r="A15" t="str">
        <f>abc!B30</f>
        <v/>
      </c>
      <c r="B15" t="str">
        <f>TEXT(abc!C30,"DD/MM/AAAA")</f>
        <v/>
      </c>
      <c r="C15" t="str">
        <f t="shared" si="1"/>
        <v xml:space="preserve"> </v>
      </c>
    </row>
    <row r="16" spans="1:3" x14ac:dyDescent="0.25">
      <c r="A16" t="str">
        <f>abc!B31</f>
        <v/>
      </c>
      <c r="B16" t="str">
        <f>abc!C31</f>
        <v/>
      </c>
      <c r="C16" t="str">
        <f t="shared" si="1"/>
        <v xml:space="preserve"> </v>
      </c>
    </row>
    <row r="17" spans="1:3" x14ac:dyDescent="0.25">
      <c r="A17" t="str">
        <f>abc!B32</f>
        <v/>
      </c>
      <c r="B17" t="str">
        <f>abc!C32</f>
        <v/>
      </c>
      <c r="C17" t="str">
        <f t="shared" si="1"/>
        <v xml:space="preserve"> </v>
      </c>
    </row>
    <row r="18" spans="1:3" x14ac:dyDescent="0.25">
      <c r="A18" t="str">
        <f>abc!B33</f>
        <v/>
      </c>
      <c r="B18" t="str">
        <f>abc!C33</f>
        <v/>
      </c>
      <c r="C18" t="str">
        <f t="shared" si="1"/>
        <v xml:space="preserve"> </v>
      </c>
    </row>
    <row r="19" spans="1:3" ht="75.75" customHeight="1" x14ac:dyDescent="0.25">
      <c r="A19" t="str">
        <f>abc!B34</f>
        <v>Justificación</v>
      </c>
      <c r="B19" s="11">
        <f>abc!B35</f>
        <v>0</v>
      </c>
      <c r="C19" s="11" t="str">
        <f>CONCATENATE(A19,": ",B19)</f>
        <v>Justificación: 0</v>
      </c>
    </row>
    <row r="43" ht="111.75"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FormatoABC</vt:lpstr>
      <vt:lpstr>abc</vt:lpstr>
      <vt:lpstr>prgm</vt:lpstr>
      <vt:lpstr>imp</vt:lpstr>
      <vt:lpstr>sr</vt:lpstr>
      <vt:lpstr>abc!Print_Area</vt:lpstr>
      <vt:lpstr>FormatoABC!Print_Area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Asesor SII16</dc:creator>
  <cp:lastModifiedBy>Asesor SII16</cp:lastModifiedBy>
  <cp:lastPrinted>2025-10-24T18:07:57Z</cp:lastPrinted>
  <dcterms:created xsi:type="dcterms:W3CDTF">2025-07-08T23:17:35Z</dcterms:created>
  <dcterms:modified xsi:type="dcterms:W3CDTF">2025-10-24T18:56:46Z</dcterms:modified>
</cp:coreProperties>
</file>